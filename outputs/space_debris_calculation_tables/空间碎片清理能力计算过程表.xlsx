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d29867ab3f47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汇总" sheetId="1" r:id="Rb994a2d643c74bf8"/>
    <x:sheet xmlns:r="http://schemas.openxmlformats.org/officeDocument/2006/relationships" name="假设与常数" sheetId="2" r:id="R57d0b5bc89c9445d"/>
    <x:sheet xmlns:r="http://schemas.openxmlformats.org/officeDocument/2006/relationships" name="目标参数" sheetId="3" r:id="R0621dad65c5846a5"/>
    <x:sheet xmlns:r="http://schemas.openxmlformats.org/officeDocument/2006/relationships" name="分段转移" sheetId="4" r:id="Ref3f59927e004a1e"/>
    <x:sheet xmlns:r="http://schemas.openxmlformats.org/officeDocument/2006/relationships" name="离轨计算" sheetId="5" r:id="R2e4ac72ccb8e4108"/>
    <x:sheet xmlns:r="http://schemas.openxmlformats.org/officeDocument/2006/relationships" name="能力计算" sheetId="6" r:id="R31b7713970a64e08"/>
    <x:sheet xmlns:r="http://schemas.openxmlformats.org/officeDocument/2006/relationships" name="敏感性分析" sheetId="7" r:id="Rc20aa80212514786"/>
    <x:sheet xmlns:r="http://schemas.openxmlformats.org/officeDocument/2006/relationships" name="来源与边界" sheetId="8" r:id="R093a760c6b6141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0.0%"/>
    <x:numFmt numFmtId="202" formatCode="0.000"/>
    <x:numFmt numFmtId="203" formatCode="0.000000"/>
    <x:numFmt numFmtId="204" formatCode="0.0000"/>
    <x:numFmt numFmtId="205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5B6573"/>
      <x:name val="Carlito"/>
    </x:font>
    <x:font>
      <x:b/>
      <x:sz val="11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8">
    <x:border/>
    <x:border>
      <x:right style="thin">
        <x:color rgb="FFB8C4CE"/>
      </x:right>
    </x:border>
    <x:border>
      <x:left style="thin">
        <x:color rgb="FFB8C4CE"/>
      </x:left>
      <x:right style="thin">
        <x:color rgb="FFB8C4CE"/>
      </x:right>
    </x:border>
    <x:border>
      <x:left style="thin">
        <x:color rgb="FFB8C4CE"/>
      </x:left>
    </x:border>
    <x:border>
      <x:bottom style="thin">
        <x:color rgb="FFB8C4CE"/>
      </x:bottom>
    </x:border>
    <x:border>
      <x:top style="thin">
        <x:color rgb="FFB8C4CE"/>
      </x:top>
      <x:bottom style="thin">
        <x:color rgb="FFB8C4CE"/>
      </x:bottom>
    </x:border>
    <x:border>
      <x:left style="thin">
        <x:color rgb="FFB8C4CE"/>
      </x:left>
      <x:top style="thin">
        <x:color rgb="FFB8C4CE"/>
      </x:top>
      <x:bottom style="thin">
        <x:color rgb="FFB8C4CE"/>
      </x:bottom>
    </x:border>
    <x:border>
      <x:right style="thin">
        <x:color rgb="FFB8C4CE"/>
      </x:right>
      <x:top style="thin">
        <x:color rgb="FFB8C4CE"/>
      </x:top>
      <x:bottom style="thin">
        <x:color rgb="FFB8C4CE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4" borderId="4" xfId="0" applyNumberFormat="1" applyFont="1" applyFill="1" applyBorder="1" applyAlignment="1">
      <x:alignment vertical="center" wrapText="1"/>
    </x:xf>
    <x:xf numFmtId="0" fontId="0" fillId="4" borderId="5" xfId="0" applyNumberFormat="1" applyFont="1" applyFill="1" applyBorder="1" applyAlignment="1">
      <x:alignment vertical="center" wrapText="1"/>
    </x:xf>
    <x:xf numFmtId="200" fontId="0" fillId="4" borderId="4" xfId="0" applyNumberFormat="1" applyFont="1" applyFill="1" applyBorder="1" applyAlignment="1">
      <x:alignment vertical="center" wrapText="1"/>
    </x:xf>
    <x:xf numFmtId="200" fontId="0" fillId="4" borderId="5" xfId="0" applyNumberFormat="1" applyFont="1" applyFill="1" applyBorder="1" applyAlignment="1">
      <x:alignment vertical="center" wrapText="1"/>
    </x:xf>
    <x:xf numFmtId="201" fontId="0" fillId="4" borderId="5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202" fontId="0" fillId="0" borderId="4" xfId="0" applyNumberFormat="1" applyFont="1" applyFill="1" applyBorder="1" applyAlignment="1">
      <x:alignment vertical="center" wrapText="1"/>
    </x:xf>
    <x:xf numFmtId="202" fontId="0" fillId="0" borderId="5" xfId="0" applyNumberFormat="1" applyFont="1" applyFill="1" applyBorder="1" applyAlignment="1">
      <x:alignment vertical="center" wrapText="1"/>
    </x:xf>
    <x:xf numFmtId="203" fontId="0" fillId="0" borderId="4" xfId="0" applyNumberFormat="1" applyFont="1" applyFill="1" applyBorder="1" applyAlignment="1">
      <x:alignment vertical="center" wrapText="1"/>
    </x:xf>
    <x:xf numFmtId="203" fontId="0" fillId="0" borderId="5" xfId="0" applyNumberFormat="1" applyFont="1" applyFill="1" applyBorder="1" applyAlignment="1">
      <x:alignment vertical="center" wrapText="1"/>
    </x:xf>
    <x:xf numFmtId="202" fontId="0" fillId="5" borderId="4" xfId="0" applyNumberFormat="1" applyFont="1" applyFill="1" applyBorder="1" applyAlignment="1">
      <x:alignment vertical="center" wrapText="1"/>
    </x:xf>
    <x:xf numFmtId="202" fontId="0" fillId="5" borderId="5" xfId="0" applyNumberFormat="1" applyFont="1" applyFill="1" applyBorder="1" applyAlignment="1">
      <x:alignment vertical="center" wrapText="1"/>
    </x:xf>
    <x:xf numFmtId="204" fontId="0" fillId="0" borderId="4" xfId="0" applyNumberFormat="1" applyFont="1" applyFill="1" applyBorder="1" applyAlignment="1">
      <x:alignment vertical="center" wrapText="1"/>
    </x:xf>
    <x:xf numFmtId="204" fontId="0" fillId="5" borderId="4" xfId="0" applyNumberFormat="1" applyFont="1" applyFill="1" applyBorder="1" applyAlignment="1">
      <x:alignment vertical="center" wrapText="1"/>
    </x:xf>
    <x:xf numFmtId="204" fontId="0" fillId="0" borderId="5" xfId="0" applyNumberFormat="1" applyFont="1" applyFill="1" applyBorder="1" applyAlignment="1">
      <x:alignment vertical="center" wrapText="1"/>
    </x:xf>
    <x:xf numFmtId="204" fontId="0" fillId="5" borderId="5" xfId="0" applyNumberFormat="1" applyFont="1" applyFill="1" applyBorder="1" applyAlignment="1">
      <x:alignment vertical="center" wrapText="1"/>
    </x:xf>
    <x:xf numFmtId="0" fontId="0" fillId="6" borderId="5" xfId="0" applyNumberFormat="1" applyFont="1" applyFill="1" applyBorder="1" applyAlignment="1">
      <x:alignment vertical="center" wrapText="1"/>
    </x:xf>
    <x:xf numFmtId="0" fontId="3" fillId="6" borderId="5" xfId="0" applyNumberFormat="1" applyFont="1" applyFill="1" applyBorder="1" applyAlignment="1">
      <x:alignment vertical="center" wrapText="1"/>
    </x:xf>
    <x:xf numFmtId="0" fontId="3" fillId="6" borderId="6" xfId="0" applyNumberFormat="1" applyFont="1" applyFill="1" applyBorder="1" applyAlignment="1">
      <x:alignment vertical="center" wrapText="1"/>
    </x:xf>
    <x:xf numFmtId="0" fontId="3" fillId="6" borderId="7" xfId="0" applyNumberFormat="1" applyFont="1" applyFill="1" applyBorder="1" applyAlignment="1">
      <x:alignment vertical="center" wrapText="1"/>
    </x:xf>
    <x:xf numFmtId="202" fontId="3" fillId="6" borderId="5" xfId="0" applyNumberFormat="1" applyFont="1" applyFill="1" applyBorder="1" applyAlignment="1">
      <x:alignment vertical="center" wrapText="1"/>
    </x:xf>
    <x:xf numFmtId="202" fontId="3" fillId="6" borderId="7" xfId="0" applyNumberFormat="1" applyFont="1" applyFill="1" applyBorder="1" applyAlignment="1">
      <x:alignment vertical="center" wrapText="1"/>
    </x:xf>
    <x:xf numFmtId="203" fontId="0" fillId="5" borderId="5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6" xfId="0" applyNumberFormat="1" applyFont="1" applyFill="1" applyBorder="1"/>
    <x:xf numFmtId="0" fontId="3" fillId="6" borderId="5" xfId="0" applyNumberFormat="1" applyFont="1" applyFill="1" applyBorder="1"/>
    <x:xf numFmtId="0" fontId="3" fillId="6" borderId="7" xfId="0" applyNumberFormat="1" applyFont="1" applyFill="1" applyBorder="1"/>
    <x:xf numFmtId="0" fontId="3" fillId="6" borderId="5" xfId="0" applyNumberFormat="1" applyFont="1" applyFill="1" applyBorder="1" applyAlignment="1">
      <x:alignment wrapText="1"/>
    </x:xf>
    <x:xf numFmtId="0" fontId="3" fillId="5" borderId="5" xfId="0" applyNumberFormat="1" applyFont="1" applyFill="1" applyBorder="1" applyAlignment="1">
      <x:alignment vertical="center" wrapText="1"/>
    </x:xf>
    <x:xf numFmtId="202" fontId="3" fillId="5" borderId="5" xfId="0" applyNumberFormat="1" applyFont="1" applyFill="1" applyBorder="1" applyAlignment="1">
      <x:alignment vertical="center" wrapText="1"/>
    </x:xf>
    <x:xf numFmtId="201" fontId="0" fillId="5" borderId="5" xfId="0" applyNumberFormat="1" applyFont="1" applyFill="1" applyBorder="1" applyAlignment="1">
      <x:alignment vertical="center" wrapText="1"/>
    </x:xf>
    <x:xf numFmtId="205" fontId="0" fillId="0" borderId="5" xfId="0" applyNumberFormat="1" applyFont="1" applyFill="1" applyBorder="1" applyAlignment="1">
      <x:alignment vertical="center" wrapText="1"/>
    </x:xf>
    <x:xf numFmtId="201" fontId="0" fillId="0" borderId="4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 wrapText="1"/>
    </x:xf>
    <x:xf numFmtId="0" fontId="0" fillId="7" borderId="4" xfId="0" applyNumberFormat="1" applyFont="1" applyFill="1" applyBorder="1" applyAlignment="1">
      <x:alignment vertical="center" wrapText="1"/>
    </x:xf>
    <x:xf numFmtId="0" fontId="0" fillId="7" borderId="5" xfId="0" applyNumberFormat="1" applyFont="1" applyFill="1" applyBorder="1" applyAlignment="1">
      <x:alignment vertical="center" wrapText="1"/>
    </x:xf>
    <x:xf numFmtId="200" fontId="0" fillId="7" borderId="4" xfId="0" applyNumberFormat="1" applyFont="1" applyFill="1" applyBorder="1" applyAlignment="1">
      <x:alignment vertical="center" wrapText="1"/>
    </x:xf>
    <x:xf numFmtId="200" fontId="0" fillId="7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dd35667a78459b" /><Relationship Type="http://schemas.openxmlformats.org/officeDocument/2006/relationships/theme" Target="/xl/theme/theme1.xml" Id="Rc88ed91a947e4e10" /><Relationship Type="http://schemas.openxmlformats.org/officeDocument/2006/relationships/sharedStrings" Target="/xl/sharedStrings.xml" Id="Ra577f5a5027148e6" /><Relationship Type="http://schemas.openxmlformats.org/officeDocument/2006/relationships/worksheet" Target="/xl/worksheets/sheet1.xml" Id="Rb994a2d643c74bf8" /><Relationship Type="http://schemas.openxmlformats.org/officeDocument/2006/relationships/worksheet" Target="/xl/worksheets/sheet2.xml" Id="R57d0b5bc89c9445d" /><Relationship Type="http://schemas.openxmlformats.org/officeDocument/2006/relationships/worksheet" Target="/xl/worksheets/sheet3.xml" Id="R0621dad65c5846a5" /><Relationship Type="http://schemas.openxmlformats.org/officeDocument/2006/relationships/worksheet" Target="/xl/worksheets/sheet4.xml" Id="Ref3f59927e004a1e" /><Relationship Type="http://schemas.openxmlformats.org/officeDocument/2006/relationships/worksheet" Target="/xl/worksheets/sheet5.xml" Id="R2e4ac72ccb8e4108" /><Relationship Type="http://schemas.openxmlformats.org/officeDocument/2006/relationships/worksheet" Target="/xl/worksheets/sheet6.xml" Id="R31b7713970a64e08" /><Relationship Type="http://schemas.openxmlformats.org/officeDocument/2006/relationships/worksheet" Target="/xl/worksheets/sheet7.xml" Id="Rc20aa80212514786" /><Relationship Type="http://schemas.openxmlformats.org/officeDocument/2006/relationships/worksheet" Target="/xl/worksheets/sheet8.xml" Id="R093a760c6b6141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1" hidden="0" customWidth="1"/>
    <x:col min="3" max="3" width="48" hidden="0" customWidth="1"/>
    <x:col min="4" max="4" width="37" hidden="0" customWidth="1"/>
    <x:col min="5" max="5" width="18" hidden="0" customWidth="1"/>
    <x:col min="6" max="6" width="24" hidden="0" customWidth="1"/>
  </x:cols>
  <x:sheetData>
    <x:row r="1" ht="30" customHeight="1">
      <x:c r="A1" s="4" t="str">
        <x:v>10 cm 级空间碎片清理能力——计算过程汇总表</x:v>
      </x:c>
      <x:c r="B1" s="4"/>
      <x:c r="C1" s="4"/>
      <x:c r="D1" s="4"/>
      <x:c r="E1" s="4"/>
      <x:c r="F1" s="4"/>
    </x:row>
    <x:row r="2" ht="32" customHeight="1">
      <x:c r="A2" s="8" t="str">
        <x:v>典型场景：5 个风云一号 C 碎片，约 8–12 cm，约 780–880 km 太阳同步轨道带。结果为规划级基准，不替代任务级精密分析。</x:v>
      </x:c>
      <x:c r="B2" s="8"/>
      <x:c r="C2" s="8"/>
      <x:c r="D2" s="8"/>
      <x:c r="E2" s="8"/>
      <x:c r="F2" s="8"/>
    </x:row>
    <x:row r="4">
      <x:c r="A4" s="18" t="str">
        <x:v>核心指标</x:v>
      </x:c>
      <x:c r="B4" s="19" t="str">
        <x:v>基准值</x:v>
      </x:c>
      <x:c r="C4" s="19" t="str">
        <x:v>单位</x:v>
      </x:c>
      <x:c r="D4" s="20" t="str">
        <x:v>口径</x:v>
      </x:c>
    </x:row>
    <x:row r="5">
      <x:c r="A5" s="25" t="str">
        <x:v>目标间转移 Δv</x:v>
      </x:c>
      <x:c r="B5" s="65" t="n">
        <x:f>'能力计算'!B6</x:f>
        <x:v>192.74102560806452</x:v>
      </x:c>
      <x:c r="C5" s="25" t="str">
        <x:v>m/s</x:v>
      </x:c>
      <x:c r="D5" s="25" t="str">
        <x:v>四段转移+相位机动</x:v>
      </x:c>
    </x:row>
    <x:row r="6">
      <x:c r="A6" s="26" t="str">
        <x:v>离轨脉冲 Δv</x:v>
      </x:c>
      <x:c r="B6" s="66" t="n">
        <x:f>'能力计算'!B9</x:f>
        <x:v>202.15998306779514</x:v>
      </x:c>
      <x:c r="C6" s="26" t="str">
        <x:v>m/s</x:v>
      </x:c>
      <x:c r="D6" s="26" t="str">
        <x:v>末目标远地点点火至 100 km 近地点</x:v>
      </x:c>
    </x:row>
    <x:row r="7">
      <x:c r="A7" s="26" t="str">
        <x:v>余量前总 Δv</x:v>
      </x:c>
      <x:c r="B7" s="66" t="n">
        <x:f>'能力计算'!B10</x:f>
        <x:v>449.90100867585966</x:v>
      </x:c>
      <x:c r="C7" s="26" t="str">
        <x:v>m/s</x:v>
      </x:c>
      <x:c r="D7" s="26" t="str">
        <x:v>含首目标获取和每目标 RPO</x:v>
      </x:c>
    </x:row>
    <x:row r="8">
      <x:c r="A8" s="26" t="str">
        <x:v>设计总 Δv</x:v>
      </x:c>
      <x:c r="B8" s="66" t="n">
        <x:f>'能力计算'!B12</x:f>
        <x:v>539.8812104110316</x:v>
      </x:c>
      <x:c r="C8" s="26" t="str">
        <x:v>m/s</x:v>
      </x:c>
      <x:c r="D8" s="26" t="str">
        <x:v>含 20% 余量</x:v>
      </x:c>
    </x:row>
    <x:row r="9">
      <x:c r="A9" s="26" t="str">
        <x:v>任务总周期</x:v>
      </x:c>
      <x:c r="B9" s="66" t="n">
        <x:f>'能力计算'!B18</x:f>
        <x:v>121.7514947240742</x:v>
      </x:c>
      <x:c r="C9" s="26" t="str">
        <x:v>day</x:v>
      </x:c>
      <x:c r="D9" s="26" t="str">
        <x:v>90 day 获取+目标间阶段+7 day 处置</x:v>
      </x:c>
    </x:row>
    <x:row r="10">
      <x:c r="A10" s="26" t="str">
        <x:v>名义清理率</x:v>
      </x:c>
      <x:c r="B10" s="66" t="n">
        <x:f>'能力计算'!B20</x:f>
        <x:v>14.98954903293798</x:v>
      </x:c>
      <x:c r="C10" s="26" t="str">
        <x:v>target/year</x:v>
      </x:c>
      <x:c r="D10" s="26" t="str">
        <x:v>5 个目标全部成功</x:v>
      </x:c>
    </x:row>
    <x:row r="11">
      <x:c r="A11" s="26" t="str">
        <x:v>继续型有效清理率</x:v>
      </x:c>
      <x:c r="B11" s="66" t="n">
        <x:f>'能力计算'!B22</x:f>
        <x:v>11.12974015695645</x:v>
      </x:c>
      <x:c r="C11" s="26" t="str">
        <x:v>target/year</x:v>
      </x:c>
      <x:c r="D11" s="26" t="str">
        <x:v>q=75%，p_disp=99%</x:v>
      </x:c>
    </x:row>
    <x:row r="12">
      <x:c r="A12" s="26" t="str">
        <x:v>终止型有效清理率</x:v>
      </x:c>
      <x:c r="B12" s="66" t="n">
        <x:f>'能力计算'!B24</x:f>
        <x:v>6.790880517642959</x:v>
      </x:c>
      <x:c r="C12" s="26" t="str">
        <x:v>target/year</x:v>
      </x:c>
      <x:c r="D12" s="26" t="str">
        <x:v>任一失败即终止</x:v>
      </x:c>
    </x:row>
    <x:row r="15">
      <x:c r="A15" s="18" t="str">
        <x:v>步骤</x:v>
      </x:c>
      <x:c r="B15" s="19" t="str">
        <x:v>输入</x:v>
      </x:c>
      <x:c r="C15" s="19" t="str">
        <x:v>计算方法</x:v>
      </x:c>
      <x:c r="D15" s="19" t="str">
        <x:v>输出</x:v>
      </x:c>
      <x:c r="E15" s="19" t="str">
        <x:v>单位</x:v>
      </x:c>
      <x:c r="F15" s="20" t="str">
        <x:v>数据性质</x:v>
      </x:c>
    </x:row>
    <x:row r="16">
      <x:c r="A16" s="25" t="str">
        <x:v>1 目标筛选</x:v>
      </x:c>
      <x:c r="B16" s="25" t="str">
        <x:v>公开 GP + SATCAT</x:v>
      </x:c>
      <x:c r="C16" s="25" t="str">
        <x:v>8–12 cm；700–900 km；e≤0.02；时效≤3 day</x:v>
      </x:c>
      <x:c r="D16" s="25" t="n">
        <x:v>145</x:v>
      </x:c>
      <x:c r="E16" s="25" t="str">
        <x:v>eligible targets</x:v>
      </x:c>
      <x:c r="F16" s="25" t="str">
        <x:v>公开目录筛选</x:v>
      </x:c>
    </x:row>
    <x:row r="17">
      <x:c r="A17" s="26" t="str">
        <x:v>2 选取代表目标</x:v>
      </x:c>
      <x:c r="B17" s="26" t="str">
        <x:v>145 个候选</x:v>
      </x:c>
      <x:c r="C17" s="26" t="str">
        <x:v>近邻图 + 深度 5 穷举路径</x:v>
      </x:c>
      <x:c r="D17" s="26" t="n">
        <x:v>5</x:v>
      </x:c>
      <x:c r="E17" s="26" t="str">
        <x:v>targets</x:v>
      </x:c>
      <x:c r="F17" s="26" t="str">
        <x:v>模型选择</x:v>
      </x:c>
    </x:row>
    <x:row r="18">
      <x:c r="A18" s="26" t="str">
        <x:v>3 共同时刻对齐</x:v>
      </x:c>
      <x:c r="B18" s="26" t="str">
        <x:v>公开 OMM</x:v>
      </x:c>
      <x:c r="C18" s="26" t="str">
        <x:v>SGP4 传播至 2026-09-01 23:06:52 UTC</x:v>
      </x:c>
      <x:c r="D18" s="26" t="n">
        <x:v>5</x:v>
      </x:c>
      <x:c r="E18" s="26" t="str">
        <x:v>TEME states</x:v>
      </x:c>
      <x:c r="F18" s="26" t="str">
        <x:v>轨道模型</x:v>
      </x:c>
    </x:row>
    <x:row r="19">
      <x:c r="A19" s="26" t="str">
        <x:v>4 定时路线</x:v>
      </x:c>
      <x:c r="B19" s="26" t="str">
        <x:v>5 个状态与轨道面</x:v>
      </x:c>
      <x:c r="C19" s="26" t="str">
        <x:v>120 条排列逐一仿真，按 Δv 最小排序</x:v>
      </x:c>
      <x:c r="D19" s="26" t="str">
        <x:v>36668→30741→35089→35175→31150</x:v>
      </x:c>
      <x:c r="E19" s="26" t="str">
        <x:v>route</x:v>
      </x:c>
      <x:c r="F19" s="26" t="str">
        <x:v>模型计算</x:v>
      </x:c>
    </x:row>
    <x:row r="20">
      <x:c r="A20" s="26" t="str">
        <x:v>5 分段机动</x:v>
      </x:c>
      <x:c r="B20" s="26" t="str">
        <x:v>交点等待+霍曼+相位</x:v>
      </x:c>
      <x:c r="C20" s="26" t="str">
        <x:v>Δv_leg=Δv_geometry+Δv_phase</x:v>
      </x:c>
      <x:c r="D20" s="39" t="n">
        <x:f>'能力计算'!B6</x:f>
        <x:v>192.74102560806452</x:v>
      </x:c>
      <x:c r="E20" s="26" t="str">
        <x:v>m/s</x:v>
      </x:c>
      <x:c r="F20" s="26" t="str">
        <x:v>模型计算</x:v>
      </x:c>
    </x:row>
    <x:row r="21">
      <x:c r="A21" s="26" t="str">
        <x:v>6 目标间历时</x:v>
      </x:c>
      <x:c r="B21" s="26" t="str">
        <x:v>4 段历时+5 次停留</x:v>
      </x:c>
      <x:c r="C21" s="26" t="str">
        <x:v>Σt_leg+N×2 day</x:v>
      </x:c>
      <x:c r="D21" s="39" t="n">
        <x:f>'能力计算'!B16</x:f>
        <x:v>24.7514947240742</x:v>
      </x:c>
      <x:c r="E21" s="26" t="str">
        <x:v>day</x:v>
      </x:c>
      <x:c r="F21" s="26" t="str">
        <x:v>模型+规划假设</x:v>
      </x:c>
    </x:row>
    <x:row r="22">
      <x:c r="A22" s="26" t="str">
        <x:v>7 末目标离轨</x:v>
      </x:c>
      <x:c r="B22" s="26" t="str">
        <x:v>a₀、e₀、100 km 近地点</x:v>
      </x:c>
      <x:c r="C22" s="26" t="str">
        <x:v>远地点二体逆行脉冲</x:v>
      </x:c>
      <x:c r="D22" s="39" t="n">
        <x:f>'能力计算'!B9</x:f>
        <x:v>202.15998306779514</x:v>
      </x:c>
      <x:c r="E22" s="26" t="str">
        <x:v>m/s</x:v>
      </x:c>
      <x:c r="F22" s="26" t="str">
        <x:v>二体模型</x:v>
      </x:c>
    </x:row>
    <x:row r="23">
      <x:c r="A23" s="26" t="str">
        <x:v>8 能力指标</x:v>
      </x:c>
      <x:c r="B23" s="26" t="str">
        <x:v>Δv、任务周期、成功率</x:v>
      </x:c>
      <x:c r="C23" s="26" t="str">
        <x:v>目标数×365/周期；有效数按两种失败策略</x:v>
      </x:c>
      <x:c r="D23" s="39" t="n">
        <x:f>'能力计算'!B22</x:f>
        <x:v>11.12974015695645</x:v>
      </x:c>
      <x:c r="E23" s="26" t="str">
        <x:v>target/year</x:v>
      </x:c>
      <x:c r="F23" s="26" t="str">
        <x:v>规划级能力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7" hidden="0" customWidth="1"/>
    <x:col min="3" max="3" width="14" hidden="0" customWidth="1"/>
    <x:col min="4" max="4" width="16" hidden="0" customWidth="1"/>
    <x:col min="5" max="5" width="34" hidden="0" customWidth="1"/>
  </x:cols>
  <x:sheetData>
    <x:row r="1" ht="30" customHeight="1">
      <x:c r="A1" s="4" t="str">
        <x:v>假设与常数（黄色单元格为可修改输入）</x:v>
      </x:c>
      <x:c r="B1" s="4"/>
      <x:c r="C1" s="4"/>
      <x:c r="D1" s="4"/>
      <x:c r="E1" s="4"/>
    </x:row>
    <x:row r="2" ht="32" customHeight="1">
      <x:c r="A2" s="8" t="str">
        <x:v>公开数据获取：2026-09-02T06:39:51.066055+00:00；共同历元：2026-09-01T23:06:52.041312+00:00</x:v>
      </x:c>
      <x:c r="B2" s="8"/>
      <x:c r="C2" s="8"/>
      <x:c r="D2" s="8"/>
      <x:c r="E2" s="8"/>
    </x:row>
    <x:row r="4">
      <x:c r="A4" s="18" t="str">
        <x:v>参数</x:v>
      </x:c>
      <x:c r="B4" s="19" t="str">
        <x:v>符号</x:v>
      </x:c>
      <x:c r="C4" s="19" t="str">
        <x:v>数值</x:v>
      </x:c>
      <x:c r="D4" s="19" t="str">
        <x:v>单位</x:v>
      </x:c>
      <x:c r="E4" s="20" t="str">
        <x:v>性质/依据</x:v>
      </x:c>
    </x:row>
    <x:row r="5">
      <x:c r="A5" s="25" t="str">
        <x:v>地球标准引力参数</x:v>
      </x:c>
      <x:c r="B5" s="25" t="str">
        <x:v>μ</x:v>
      </x:c>
      <x:c r="C5" s="29" t="n">
        <x:v>398600.4418</x:v>
      </x:c>
      <x:c r="D5" s="25" t="str">
        <x:v>km³/s²</x:v>
      </x:c>
      <x:c r="E5" s="25" t="str">
        <x:v>物理常数</x:v>
      </x:c>
    </x:row>
    <x:row r="6">
      <x:c r="A6" s="26" t="str">
        <x:v>地球赤道半径</x:v>
      </x:c>
      <x:c r="B6" s="26" t="str">
        <x:v>Rₑ</x:v>
      </x:c>
      <x:c r="C6" s="30" t="n">
        <x:v>6378.137</x:v>
      </x:c>
      <x:c r="D6" s="26" t="str">
        <x:v>km</x:v>
      </x:c>
      <x:c r="E6" s="26" t="str">
        <x:v>物理常数</x:v>
      </x:c>
    </x:row>
    <x:row r="7">
      <x:c r="A7" s="26" t="str">
        <x:v>离轨后目标近地点高度</x:v>
      </x:c>
      <x:c r="B7" s="26" t="str">
        <x:v>hₚ,new</x:v>
      </x:c>
      <x:c r="C7" s="30" t="n">
        <x:v>100</x:v>
      </x:c>
      <x:c r="D7" s="26" t="str">
        <x:v>km</x:v>
      </x:c>
      <x:c r="E7" s="26" t="str">
        <x:v>处置目标假设</x:v>
      </x:c>
    </x:row>
    <x:row r="8">
      <x:c r="A8" s="26" t="str">
        <x:v>每个目标交会/抓取/收纳停留</x:v>
      </x:c>
      <x:c r="B8" s="26" t="str">
        <x:v>t_dwell</x:v>
      </x:c>
      <x:c r="C8" s="30" t="n">
        <x:v>2</x:v>
      </x:c>
      <x:c r="D8" s="26" t="str">
        <x:v>day/target</x:v>
      </x:c>
      <x:c r="E8" s="26" t="str">
        <x:v>规划假设（非目录数据）</x:v>
      </x:c>
    </x:row>
    <x:row r="9">
      <x:c r="A9" s="26" t="str">
        <x:v>首目标获取时间</x:v>
      </x:c>
      <x:c r="B9" s="26" t="str">
        <x:v>t_acq</x:v>
      </x:c>
      <x:c r="C9" s="30" t="n">
        <x:v>90</x:v>
      </x:c>
      <x:c r="D9" s="26" t="str">
        <x:v>day</x:v>
      </x:c>
      <x:c r="E9" s="26" t="str">
        <x:v>规划假设（非目录数据）</x:v>
      </x:c>
    </x:row>
    <x:row r="10">
      <x:c r="A10" s="26" t="str">
        <x:v>首目标获取 Δv</x:v>
      </x:c>
      <x:c r="B10" s="26" t="str">
        <x:v>Δv_acq</x:v>
      </x:c>
      <x:c r="C10" s="30" t="n">
        <x:v>30</x:v>
      </x:c>
      <x:c r="D10" s="26" t="str">
        <x:v>m/s</x:v>
      </x:c>
      <x:c r="E10" s="26" t="str">
        <x:v>规划假设（非目录数据）</x:v>
      </x:c>
    </x:row>
    <x:row r="11">
      <x:c r="A11" s="26" t="str">
        <x:v>末段处置操作时间</x:v>
      </x:c>
      <x:c r="B11" s="26" t="str">
        <x:v>t_disp</x:v>
      </x:c>
      <x:c r="C11" s="30" t="n">
        <x:v>7</x:v>
      </x:c>
      <x:c r="D11" s="26" t="str">
        <x:v>day</x:v>
      </x:c>
      <x:c r="E11" s="26" t="str">
        <x:v>规划假设（非目录数据）</x:v>
      </x:c>
    </x:row>
    <x:row r="12">
      <x:c r="A12" s="26" t="str">
        <x:v>每目标近距离操作 Δv</x:v>
      </x:c>
      <x:c r="B12" s="26" t="str">
        <x:v>Δv_RPO</x:v>
      </x:c>
      <x:c r="C12" s="30" t="n">
        <x:v>5</x:v>
      </x:c>
      <x:c r="D12" s="26" t="str">
        <x:v>m/s/target</x:v>
      </x:c>
      <x:c r="E12" s="26" t="str">
        <x:v>规划假设（非目录数据）</x:v>
      </x:c>
    </x:row>
    <x:row r="13">
      <x:c r="A13" s="26" t="str">
        <x:v>Δv 设计余量</x:v>
      </x:c>
      <x:c r="B13" s="26" t="str">
        <x:v>f_res</x:v>
      </x:c>
      <x:c r="C13" s="31" t="n">
        <x:v>0.2</x:v>
      </x:c>
      <x:c r="D13" s="26" t="str">
        <x:v>比例</x:v>
      </x:c>
      <x:c r="E13" s="26" t="str">
        <x:v>规划假设（非目录数据）</x:v>
      </x:c>
    </x:row>
    <x:row r="14">
      <x:c r="A14" s="26" t="str">
        <x:v>单目标条件成功率</x:v>
      </x:c>
      <x:c r="B14" s="26" t="str">
        <x:v>q</x:v>
      </x:c>
      <x:c r="C14" s="31" t="n">
        <x:v>0.75</x:v>
      </x:c>
      <x:c r="D14" s="26" t="str">
        <x:v>概率</x:v>
      </x:c>
      <x:c r="E14" s="26" t="str">
        <x:v>能力敏感性假设</x:v>
      </x:c>
    </x:row>
    <x:row r="15">
      <x:c r="A15" s="26" t="str">
        <x:v>最终处置成功率</x:v>
      </x:c>
      <x:c r="B15" s="26" t="str">
        <x:v>p_disp</x:v>
      </x:c>
      <x:c r="C15" s="31" t="n">
        <x:v>0.99</x:v>
      </x:c>
      <x:c r="D15" s="26" t="str">
        <x:v>概率</x:v>
      </x:c>
      <x:c r="E15" s="26" t="str">
        <x:v>能力敏感性假设</x:v>
      </x:c>
    </x:row>
    <x:row r="16">
      <x:c r="A16" s="26" t="str">
        <x:v>单次相位机动速度增量上限</x:v>
      </x:c>
      <x:c r="B16" s="26" t="str">
        <x:v>Δv_phase,max</x:v>
      </x:c>
      <x:c r="C16" s="30" t="n">
        <x:v>10</x:v>
      </x:c>
      <x:c r="D16" s="26" t="str">
        <x:v>m/s/burn</x:v>
      </x:c>
      <x:c r="E16" s="26" t="str">
        <x:v>基准路线约束</x:v>
      </x:c>
    </x:row>
    <x:row r="17">
      <x:c r="A17" s="26" t="str">
        <x:v>任务目标数</x:v>
      </x:c>
      <x:c r="B17" s="26" t="str">
        <x:v>N</x:v>
      </x:c>
      <x:c r="C17" s="30" t="n">
        <x:v>5</x:v>
      </x:c>
      <x:c r="D17" s="26" t="str">
        <x:v>target</x:v>
      </x:c>
      <x:c r="E17" s="26" t="str">
        <x:v>本场景定义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1" hidden="0" customWidth="1"/>
    <x:col min="3" max="3" width="17" hidden="0" customWidth="1"/>
    <x:col min="4" max="4" width="20" hidden="0" customWidth="1"/>
    <x:col min="5" max="5" width="11" hidden="0" customWidth="1"/>
    <x:col min="6" max="6" width="11" hidden="0" customWidth="1"/>
    <x:col min="7" max="7" width="13" hidden="0" customWidth="1"/>
    <x:col min="8" max="8" width="12" hidden="0" customWidth="1"/>
    <x:col min="9" max="9" width="12" hidden="0" customWidth="1"/>
    <x:col min="10" max="10" width="13" hidden="0" customWidth="1"/>
    <x:col min="11" max="11" width="16" hidden="0" customWidth="1"/>
    <x:col min="12" max="12" width="15" hidden="0" customWidth="1"/>
    <x:col min="13" max="13" width="15" hidden="0" customWidth="1"/>
    <x:col min="14" max="14" width="12" hidden="0" customWidth="1"/>
    <x:col min="15" max="15" width="11" hidden="0" customWidth="1"/>
    <x:col min="16" max="16" width="13" hidden="0" customWidth="1"/>
    <x:col min="17" max="17" width="13" hidden="0" customWidth="1"/>
    <x:col min="18" max="18" width="28" hidden="0" customWidth="1"/>
  </x:cols>
  <x:sheetData>
    <x:row r="1" ht="30" customHeight="1">
      <x:c r="A1" s="4" t="str">
        <x:v>五个约 10 cm 目标的公开轨道参数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32" customHeight="1">
      <x:c r="A2" s="8" t="str">
        <x:v>目标按最小 Δv 定时路线排序；轨道要素由公开 OMM 经 SGP4 对齐至共同历元。等效直径由 RCS 圆面积代理计算，不等于实测几何尺寸。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</x:row>
    <x:row r="4">
      <x:c r="A4" s="18" t="str">
        <x:v>顺序</x:v>
      </x:c>
      <x:c r="B4" s="19" t="str">
        <x:v>NORAD</x:v>
      </x:c>
      <x:c r="C4" s="19" t="str">
        <x:v>国际编号</x:v>
      </x:c>
      <x:c r="D4" s="19" t="str">
        <x:v>名称</x:v>
      </x:c>
      <x:c r="E4" s="19" t="str">
        <x:v>近地点
km</x:v>
      </x:c>
      <x:c r="F4" s="19" t="str">
        <x:v>远地点
km</x:v>
      </x:c>
      <x:c r="G4" s="19" t="str">
        <x:v>半长轴
km</x:v>
      </x:c>
      <x:c r="H4" s="19" t="str">
        <x:v>偏心率</x:v>
      </x:c>
      <x:c r="I4" s="19" t="str">
        <x:v>倾角
deg</x:v>
      </x:c>
      <x:c r="J4" s="19" t="str">
        <x:v>RAAN
deg</x:v>
      </x:c>
      <x:c r="K4" s="19" t="str">
        <x:v>近地点幅角
deg</x:v>
      </x:c>
      <x:c r="L4" s="19" t="str">
        <x:v>平近点角
deg</x:v>
      </x:c>
      <x:c r="M4" s="19" t="str">
        <x:v>平均运动
rev/day</x:v>
      </x:c>
      <x:c r="N4" s="19" t="str">
        <x:v>周期
min</x:v>
      </x:c>
      <x:c r="O4" s="19" t="str">
        <x:v>RCS
m²</x:v>
      </x:c>
      <x:c r="P4" s="19" t="str">
        <x:v>等效直径
cm</x:v>
      </x:c>
      <x:c r="Q4" s="19" t="str">
        <x:v>历元时效
day</x:v>
      </x:c>
      <x:c r="R4" s="20" t="str">
        <x:v>共同历元</x:v>
      </x:c>
    </x:row>
    <x:row r="5">
      <x:c r="A5" s="25" t="n">
        <x:v>1</x:v>
      </x:c>
      <x:c r="B5" s="25" t="str">
        <x:v>36668</x:v>
      </x:c>
      <x:c r="C5" s="25" t="str">
        <x:v>1999-025DYN</x:v>
      </x:c>
      <x:c r="D5" s="25" t="str">
        <x:v>FENGYUN 1C DEB</x:v>
      </x:c>
      <x:c r="E5" s="34" t="n">
        <x:v>802</x:v>
      </x:c>
      <x:c r="F5" s="34" t="n">
        <x:v>876</x:v>
      </x:c>
      <x:c r="G5" s="34" t="n">
        <x:v>7217.073054052577</x:v>
      </x:c>
      <x:c r="H5" s="36" t="n">
        <x:v>0.005501255594063605</x:v>
      </x:c>
      <x:c r="I5" s="36" t="n">
        <x:v>98.60572370112212</x:v>
      </x:c>
      <x:c r="J5" s="36" t="n">
        <x:v>251.3970493764394</x:v>
      </x:c>
      <x:c r="K5" s="36" t="n">
        <x:v>176.41902990983576</x:v>
      </x:c>
      <x:c r="L5" s="36" t="n">
        <x:v>219.91301075818825</x:v>
      </x:c>
      <x:c r="M5" s="36" t="n">
        <x:v>14.15978103</x:v>
      </x:c>
      <x:c r="N5" s="38" t="n">
        <x:f>1440/M5</x:f>
        <x:v>101.6964878870023</x:v>
      </x:c>
      <x:c r="O5" s="40" t="n">
        <x:v>0.0106</x:v>
      </x:c>
      <x:c r="P5" s="41" t="n">
        <x:f>2*SQRT(O5/PI())*100</x:f>
        <x:v>11.617374563210367</x:v>
      </x:c>
      <x:c r="Q5" s="40" t="n">
        <x:v>0.71374467</x:v>
      </x:c>
      <x:c r="R5" s="25" t="str">
        <x:v>2026-09-01 23:06:52 UTC</x:v>
      </x:c>
    </x:row>
    <x:row r="6">
      <x:c r="A6" s="26" t="n">
        <x:v>2</x:v>
      </x:c>
      <x:c r="B6" s="26" t="str">
        <x:v>30741</x:v>
      </x:c>
      <x:c r="C6" s="26" t="str">
        <x:v>1999-025ATB</x:v>
      </x:c>
      <x:c r="D6" s="26" t="str">
        <x:v>FENGYUN 1C DEB</x:v>
      </x:c>
      <x:c r="E6" s="35" t="n">
        <x:v>843</x:v>
      </x:c>
      <x:c r="F6" s="35" t="n">
        <x:v>853</x:v>
      </x:c>
      <x:c r="G6" s="35" t="n">
        <x:v>7218.259214019136</x:v>
      </x:c>
      <x:c r="H6" s="37" t="n">
        <x:v>0.001247222183312534</x:v>
      </x:c>
      <x:c r="I6" s="37" t="n">
        <x:v>98.68126669781414</x:v>
      </x:c>
      <x:c r="J6" s="37" t="n">
        <x:v>251.33217684180315</x:v>
      </x:c>
      <x:c r="K6" s="37" t="n">
        <x:v>133.0725799149378</x:v>
      </x:c>
      <x:c r="L6" s="37" t="n">
        <x:v>288.6928278638273</x:v>
      </x:c>
      <x:c r="M6" s="37" t="n">
        <x:v>14.13372666</x:v>
      </x:c>
      <x:c r="N6" s="39" t="n">
        <x:f>1440/M6</x:f>
        <x:v>101.88395705114053</x:v>
      </x:c>
      <x:c r="O6" s="42" t="n">
        <x:v>0.0069</x:v>
      </x:c>
      <x:c r="P6" s="43" t="n">
        <x:f>2*SQRT(O6/PI())*100</x:f>
        <x:v>9.373021315815206</x:v>
      </x:c>
      <x:c r="Q6" s="42" t="n">
        <x:v>0.47743553999999994</x:v>
      </x:c>
      <x:c r="R6" s="26" t="str">
        <x:v>2026-09-01 23:06:52 UTC</x:v>
      </x:c>
    </x:row>
    <x:row r="7">
      <x:c r="A7" s="26" t="n">
        <x:v>3</x:v>
      </x:c>
      <x:c r="B7" s="26" t="str">
        <x:v>35089</x:v>
      </x:c>
      <x:c r="C7" s="26" t="str">
        <x:v>1999-025DJR</x:v>
      </x:c>
      <x:c r="D7" s="26" t="str">
        <x:v>FENGYUN 1C DEB</x:v>
      </x:c>
      <x:c r="E7" s="35" t="n">
        <x:v>805</x:v>
      </x:c>
      <x:c r="F7" s="35" t="n">
        <x:v>845</x:v>
      </x:c>
      <x:c r="G7" s="35" t="n">
        <x:v>7207.7117933244</x:v>
      </x:c>
      <x:c r="H7" s="37" t="n">
        <x:v>0.003398904219188717</x:v>
      </x:c>
      <x:c r="I7" s="37" t="n">
        <x:v>98.55271447645887</x:v>
      </x:c>
      <x:c r="J7" s="37" t="n">
        <x:v>251.09057365633637</x:v>
      </x:c>
      <x:c r="K7" s="37" t="n">
        <x:v>44.85309442840042</x:v>
      </x:c>
      <x:c r="L7" s="37" t="n">
        <x:v>118.11230364134659</x:v>
      </x:c>
      <x:c r="M7" s="37" t="n">
        <x:v>14.20119866</x:v>
      </x:c>
      <x:c r="N7" s="39" t="n">
        <x:f>1440/M7</x:f>
        <x:v>101.3998912680516</x:v>
      </x:c>
      <x:c r="O7" s="42" t="n">
        <x:v>0.0082</x:v>
      </x:c>
      <x:c r="P7" s="43" t="n">
        <x:f>2*SQRT(O7/PI())*100</x:f>
        <x:v>10.217907939900583</x:v>
      </x:c>
      <x:c r="Q7" s="42" t="n">
        <x:v>1.7228015300000001</x:v>
      </x:c>
      <x:c r="R7" s="26" t="str">
        <x:v>2026-09-01 23:06:52 UTC</x:v>
      </x:c>
    </x:row>
    <x:row r="8">
      <x:c r="A8" s="26" t="n">
        <x:v>4</x:v>
      </x:c>
      <x:c r="B8" s="26" t="str">
        <x:v>35175</x:v>
      </x:c>
      <x:c r="C8" s="26" t="str">
        <x:v>1999-025DNF</x:v>
      </x:c>
      <x:c r="D8" s="26" t="str">
        <x:v>FENGYUN 1C DEB</x:v>
      </x:c>
      <x:c r="E8" s="35" t="n">
        <x:v>779</x:v>
      </x:c>
      <x:c r="F8" s="35" t="n">
        <x:v>860</x:v>
      </x:c>
      <x:c r="G8" s="35" t="n">
        <x:v>7195.861161119447</x:v>
      </x:c>
      <x:c r="H8" s="37" t="n">
        <x:v>0.004427090897559232</x:v>
      </x:c>
      <x:c r="I8" s="37" t="n">
        <x:v>98.5734832560597</x:v>
      </x:c>
      <x:c r="J8" s="37" t="n">
        <x:v>250.79917769551952</x:v>
      </x:c>
      <x:c r="K8" s="37" t="n">
        <x:v>235.3956432032797</x:v>
      </x:c>
      <x:c r="L8" s="37" t="n">
        <x:v>346.97356491704284</x:v>
      </x:c>
      <x:c r="M8" s="37" t="n">
        <x:v>14.21670562</x:v>
      </x:c>
      <x:c r="N8" s="39" t="n">
        <x:f>1440/M8</x:f>
        <x:v>101.28928870653509</x:v>
      </x:c>
      <x:c r="O8" s="42" t="n">
        <x:v>0.0056</x:v>
      </x:c>
      <x:c r="P8" s="43" t="n">
        <x:f>2*SQRT(O8/PI())*100</x:f>
        <x:v>8.444016491289505</x:v>
      </x:c>
      <x:c r="Q8" s="42" t="n">
        <x:v>2.15494054</x:v>
      </x:c>
      <x:c r="R8" s="26" t="str">
        <x:v>2026-09-01 23:06:52 UTC</x:v>
      </x:c>
    </x:row>
    <x:row r="9">
      <x:c r="A9" s="26" t="n">
        <x:v>5</x:v>
      </x:c>
      <x:c r="B9" s="26" t="str">
        <x:v>31150</x:v>
      </x:c>
      <x:c r="C9" s="26" t="str">
        <x:v>1999-025BHC</x:v>
      </x:c>
      <x:c r="D9" s="26" t="str">
        <x:v>FENGYUN 1C DEB</x:v>
      </x:c>
      <x:c r="E9" s="35" t="n">
        <x:v>838</x:v>
      </x:c>
      <x:c r="F9" s="35" t="n">
        <x:v>861</x:v>
      </x:c>
      <x:c r="G9" s="35" t="n">
        <x:v>7228.801246056358</x:v>
      </x:c>
      <x:c r="H9" s="37" t="n">
        <x:v>0.002109715348834441</x:v>
      </x:c>
      <x:c r="I9" s="37" t="n">
        <x:v>98.68280662599709</x:v>
      </x:c>
      <x:c r="J9" s="37" t="n">
        <x:v>250.70551452185543</x:v>
      </x:c>
      <x:c r="K9" s="37" t="n">
        <x:v>109.60573169841109</x:v>
      </x:c>
      <x:c r="L9" s="37" t="n">
        <x:v>102.03983077789302</x:v>
      </x:c>
      <x:c r="M9" s="37" t="n">
        <x:v>14.12872378</x:v>
      </x:c>
      <x:c r="N9" s="39" t="n">
        <x:f>1440/M9</x:f>
        <x:v>101.92003343135639</x:v>
      </x:c>
      <x:c r="O9" s="42" t="n">
        <x:v>0.0075</x:v>
      </x:c>
      <x:c r="P9" s="43" t="n">
        <x:f>2*SQRT(O9/PI())*100</x:f>
        <x:v>9.772050238058398</x:v>
      </x:c>
      <x:c r="Q9" s="42" t="n">
        <x:v>0.43659013</x:v>
      </x:c>
      <x:c r="R9" s="26" t="str">
        <x:v>2026-09-01 23:06:52 UTC</x:v>
      </x:c>
    </x:row>
  </x:sheetData>
  <x:mergeCells>
    <x:mergeCell ref="A1:R1"/>
    <x:mergeCell ref="A2:R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1" hidden="0" customWidth="1"/>
    <x:col min="3" max="3" width="11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12" hidden="0" customWidth="1"/>
    <x:col min="9" max="9" width="13" hidden="0" customWidth="1"/>
    <x:col min="10" max="10" width="13" hidden="0" customWidth="1"/>
    <x:col min="11" max="11" width="13" hidden="0" customWidth="1"/>
    <x:col min="12" max="12" width="11" hidden="0" customWidth="1"/>
    <x:col min="13" max="13" width="13" hidden="0" customWidth="1"/>
    <x:col min="14" max="14" width="15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1" ht="30" customHeight="1">
      <x:c r="A1" s="4" t="str">
        <x:v>目标间定时转移计算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4" ht="32" customHeight="1">
      <x:c r="A4" s="18" t="str">
        <x:v>段</x:v>
      </x:c>
      <x:c r="B4" s="19" t="str">
        <x:v>起点</x:v>
      </x:c>
      <x:c r="C4" s="19" t="str">
        <x:v>终点</x:v>
      </x:c>
      <x:c r="D4" s="19" t="str">
        <x:v>开始 UTC</x:v>
      </x:c>
      <x:c r="E4" s="19" t="str">
        <x:v>转移出发 UTC</x:v>
      </x:c>
      <x:c r="F4" s="19" t="str">
        <x:v>进入目标轨道 UTC</x:v>
      </x:c>
      <x:c r="G4" s="19" t="str">
        <x:v>交会 UTC</x:v>
      </x:c>
      <x:c r="H4" s="19" t="str">
        <x:v>节点等待
h</x:v>
      </x:c>
      <x:c r="I4" s="19" t="str">
        <x:v>霍曼飞行
min</x:v>
      </x:c>
      <x:c r="J4" s="19" t="str">
        <x:v>相位角
deg</x:v>
      </x:c>
      <x:c r="K4" s="19" t="str">
        <x:v>相位方向</x:v>
      </x:c>
      <x:c r="L4" s="19" t="str">
        <x:v>相位圈数</x:v>
      </x:c>
      <x:c r="M4" s="19" t="str">
        <x:v>相位时间
day</x:v>
      </x:c>
      <x:c r="N4" s="19" t="str">
        <x:v>轨道面夹角
deg</x:v>
      </x:c>
      <x:c r="O4" s="19" t="str">
        <x:v>几何 Δv
m/s</x:v>
      </x:c>
      <x:c r="P4" s="19" t="str">
        <x:v>相位 Δv
m/s</x:v>
      </x:c>
      <x:c r="Q4" s="19" t="str">
        <x:v>分段 Δv
m/s</x:v>
      </x:c>
      <x:c r="R4" s="20" t="str">
        <x:v>分段历时
day</x:v>
      </x:c>
      <x:c r="SGP4" s="8"/>
    </x:row>
    <x:row r="5">
      <x:c r="A5" s="25" t="n">
        <x:v>1</x:v>
      </x:c>
      <x:c r="B5" s="25" t="str">
        <x:v>36668</x:v>
      </x:c>
      <x:c r="C5" s="25" t="str">
        <x:v>30741</x:v>
      </x:c>
      <x:c r="D5" s="25" t="str">
        <x:v>2026-09-03 23:06:52 UTC</x:v>
      </x:c>
      <x:c r="E5" s="25" t="str">
        <x:v>2026-09-03 23:56:12 UTC</x:v>
      </x:c>
      <x:c r="F5" s="25" t="str">
        <x:v>2026-09-04 00:47:06 UTC</x:v>
      </x:c>
      <x:c r="G5" s="25" t="str">
        <x:v>2026-09-04 09:14:53 UTC</x:v>
      </x:c>
      <x:c r="H5" s="34" t="n">
        <x:v>0.8223500877777778</x:v>
      </x:c>
      <x:c r="I5" s="34" t="n">
        <x:v>50.89227883762564</x:v>
      </x:c>
      <x:c r="J5" s="34" t="n">
        <x:v>5.972426409253901</x:v>
      </x:c>
      <x:c r="K5" s="25" t="str">
        <x:v>低轨相位</x:v>
      </x:c>
      <x:c r="L5" s="25" t="n">
        <x:v>5</x:v>
      </x:c>
      <x:c r="M5" s="34" t="n">
        <x:v>0.35263456305968405</x:v>
      </x:c>
      <x:c r="N5" s="34" t="n">
        <x:v>0.09053841331035588</x:v>
      </x:c>
      <x:c r="O5" s="34" t="n">
        <x:v>14.779449605951543</x:v>
      </x:c>
      <x:c r="P5" s="34" t="n">
        <x:v>16.482863794314184</x:v>
      </x:c>
      <x:c r="Q5" s="38" t="n">
        <x:f>O5+P5</x:f>
        <x:v>31.262313400265725</x:v>
      </x:c>
      <x:c r="R5" s="38" t="n">
        <x:f>H5/24+I5/1440+M5</x:f>
        <x:v>0.4222410103543315</x:v>
      </x:c>
    </x:row>
    <x:row r="6">
      <x:c r="A6" s="26" t="n">
        <x:v>2</x:v>
      </x:c>
      <x:c r="B6" s="26" t="str">
        <x:v>30741</x:v>
      </x:c>
      <x:c r="C6" s="26" t="str">
        <x:v>35089</x:v>
      </x:c>
      <x:c r="D6" s="26" t="str">
        <x:v>2026-09-06 09:14:53 UTC</x:v>
      </x:c>
      <x:c r="E6" s="26" t="str">
        <x:v>2026-09-06 10:10:02 UTC</x:v>
      </x:c>
      <x:c r="F6" s="26" t="str">
        <x:v>2026-09-06 11:00:45 UTC</x:v>
      </x:c>
      <x:c r="G6" s="26" t="str">
        <x:v>2026-09-13 19:02:45 UTC</x:v>
      </x:c>
      <x:c r="H6" s="35" t="n">
        <x:v>0.9192553847222221</x:v>
      </x:c>
      <x:c r="I6" s="35" t="n">
        <x:v>50.71383725174662</x:v>
      </x:c>
      <x:c r="J6" s="35" t="n">
        <x:v>209.91041648222776</x:v>
      </x:c>
      <x:c r="K6" s="26" t="str">
        <x:v>高轨相位</x:v>
      </x:c>
      <x:c r="L6" s="26" t="n">
        <x:v>104</x:v>
      </x:c>
      <x:c r="M6" s="35" t="n">
        <x:v>7.33472310084171</x:v>
      </x:c>
      <x:c r="N6" s="35" t="n">
        <x:v>0.2801163734393534</x:v>
      </x:c>
      <x:c r="O6" s="35" t="n">
        <x:v>43.67483035824786</x:v>
      </x:c>
      <x:c r="P6" s="35" t="n">
        <x:v>19.81755743748792</x:v>
      </x:c>
      <x:c r="Q6" s="39" t="n">
        <x:f>O6+P6</x:f>
        <x:v>63.49238779573578</x:v>
      </x:c>
      <x:c r="R6" s="39" t="n">
        <x:f>H6/24+I6/1440+M6</x:f>
        <x:v>7.408243351074405</x:v>
      </x:c>
    </x:row>
    <x:row r="7">
      <x:c r="A7" s="26" t="n">
        <x:v>3</x:v>
      </x:c>
      <x:c r="B7" s="26" t="str">
        <x:v>35089</x:v>
      </x:c>
      <x:c r="C7" s="26" t="str">
        <x:v>35175</x:v>
      </x:c>
      <x:c r="D7" s="26" t="str">
        <x:v>2026-09-15 19:02:45 UTC</x:v>
      </x:c>
      <x:c r="E7" s="26" t="str">
        <x:v>2026-09-15 19:53:57 UTC</x:v>
      </x:c>
      <x:c r="F7" s="26" t="str">
        <x:v>2026-09-15 20:44:33 UTC</x:v>
      </x:c>
      <x:c r="G7" s="26" t="str">
        <x:v>2026-09-22 10:39:06 UTC</x:v>
      </x:c>
      <x:c r="H7" s="35" t="n">
        <x:v>0.8533087355555555</x:v>
      </x:c>
      <x:c r="I7" s="35" t="n">
        <x:v>50.58691138228055</x:v>
      </x:c>
      <x:c r="J7" s="35" t="n">
        <x:v>135.2589513635574</x:v>
      </x:c>
      <x:c r="K7" s="26" t="str">
        <x:v>低轨相位</x:v>
      </x:c>
      <x:c r="L7" s="26" t="n">
        <x:v>94</x:v>
      </x:c>
      <x:c r="M7" s="35" t="n">
        <x:v>6.57955685661405</x:v>
      </x:c>
      <x:c r="N7" s="35" t="n">
        <x:v>0.2259007865646513</x:v>
      </x:c>
      <x:c r="O7" s="35" t="n">
        <x:v>29.939330736494004</x:v>
      </x:c>
      <x:c r="P7" s="35" t="n">
        <x:v>19.915117064382315</x:v>
      </x:c>
      <x:c r="Q7" s="39" t="n">
        <x:f>O7+P7</x:f>
        <x:v>49.854447800876315</x:v>
      </x:c>
      <x:c r="R7" s="39" t="n">
        <x:f>H7/24+I7/1440+M7</x:f>
        <x:v>6.6502411868332265</x:v>
      </x:c>
    </x:row>
    <x:row r="8">
      <x:c r="A8" s="26" t="n">
        <x:v>4</x:v>
      </x:c>
      <x:c r="B8" s="26" t="str">
        <x:v>35175</x:v>
      </x:c>
      <x:c r="C8" s="26" t="str">
        <x:v>31150</x:v>
      </x:c>
      <x:c r="D8" s="26" t="str">
        <x:v>2026-09-24 10:39:06 UTC</x:v>
      </x:c>
      <x:c r="E8" s="26" t="str">
        <x:v>2026-09-24 11:11:46 UTC</x:v>
      </x:c>
      <x:c r="F8" s="26" t="str">
        <x:v>2026-09-24 12:02:31 UTC</x:v>
      </x:c>
      <x:c r="G8" s="26" t="str">
        <x:v>2026-09-24 17:09:01 UTC</x:v>
      </x:c>
      <x:c r="H8" s="35" t="n">
        <x:v>0.5442968505555555</x:v>
      </x:c>
      <x:c r="I8" s="35" t="n">
        <x:v>50.75270653731375</x:v>
      </x:c>
      <x:c r="J8" s="35" t="n">
        <x:v>356.2703666036227</x:v>
      </x:c>
      <x:c r="K8" s="26" t="str">
        <x:v>高轨相位</x:v>
      </x:c>
      <x:c r="L8" s="26" t="n">
        <x:v>3</x:v>
      </x:c>
      <x:c r="M8" s="35" t="n">
        <x:v>0.2128452052770654</x:v>
      </x:c>
      <x:c r="N8" s="35" t="n">
        <x:v>0.17218085694173113</x:v>
      </x:c>
      <x:c r="O8" s="35" t="n">
        <x:v>31.087786907763054</x:v>
      </x:c>
      <x:c r="P8" s="35" t="n">
        <x:v>17.044089703423637</x:v>
      </x:c>
      <x:c r="Q8" s="39" t="n">
        <x:f>O8+P8</x:f>
        <x:v>48.13187661118669</x:v>
      </x:c>
      <x:c r="R8" s="39" t="n">
        <x:f>H8/24+I8/1440+M8</x:f>
        <x:v>0.270769175812237</x:v>
      </x:c>
    </x:row>
    <x:row r="9">
      <x:c r="A9" s="26"/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35"/>
      <x:c r="N9" s="35"/>
      <x:c r="O9" s="35"/>
      <x:c r="P9" s="35"/>
      <x:c r="Q9" s="35"/>
      <x:c r="R9" s="35"/>
    </x:row>
    <x:row r="10">
      <x:c r="A10" s="46" t="str">
        <x:v>四段机动小计</x:v>
      </x:c>
      <x:c r="B10" s="45"/>
      <x:c r="C10" s="45"/>
      <x:c r="D10" s="45"/>
      <x:c r="E10" s="45"/>
      <x:c r="F10" s="45"/>
      <x:c r="G10" s="45"/>
      <x:c r="H10" s="45"/>
      <x:c r="I10" s="45"/>
      <x:c r="J10" s="45"/>
      <x:c r="K10" s="45"/>
      <x:c r="L10" s="45"/>
      <x:c r="M10" s="48"/>
      <x:c r="N10" s="48"/>
      <x:c r="O10" s="48" t="n">
        <x:f>SUM(O5:O8)</x:f>
        <x:v>119.48139760845646</x:v>
      </x:c>
      <x:c r="P10" s="48" t="n">
        <x:f>SUM(P5:P8)</x:f>
        <x:v>73.25962799960806</x:v>
      </x:c>
      <x:c r="Q10" s="48" t="n">
        <x:f>SUM(Q5:Q8)</x:f>
        <x:v>192.74102560806452</x:v>
      </x:c>
      <x:c r="R10" s="49" t="n">
        <x:f>SUM(R5:R8)</x:f>
        <x:v>14.751494724074199</x:v>
      </x:c>
    </x:row>
    <x:row r="11">
      <x:c r="A11" s="46" t="str">
        <x:v>五个目标停留时间</x:v>
      </x:c>
      <x:c r="B11" s="45"/>
      <x:c r="C11" s="45"/>
      <x:c r="D11" s="45"/>
      <x:c r="E11" s="45"/>
      <x:c r="F11" s="45"/>
      <x:c r="G11" s="45"/>
      <x:c r="H11" s="45"/>
      <x:c r="I11" s="45"/>
      <x:c r="J11" s="45"/>
      <x:c r="K11" s="45"/>
      <x:c r="L11" s="45"/>
      <x:c r="M11" s="48"/>
      <x:c r="N11" s="48"/>
      <x:c r="O11" s="48"/>
      <x:c r="P11" s="48"/>
      <x:c r="Q11" s="48"/>
      <x:c r="R11" s="49" t="n">
        <x:f>'假设与常数'!$C$8*'假设与常数'!$C$17</x:f>
        <x:v>10</x:v>
      </x:c>
    </x:row>
    <x:row r="12">
      <x:c r="A12" s="46" t="str">
        <x:v>目标间阶段合计</x:v>
      </x:c>
      <x:c r="B12" s="45"/>
      <x:c r="C12" s="45"/>
      <x:c r="D12" s="45"/>
      <x:c r="E12" s="45"/>
      <x:c r="F12" s="45"/>
      <x:c r="G12" s="45"/>
      <x:c r="H12" s="45"/>
      <x:c r="I12" s="45"/>
      <x:c r="J12" s="45"/>
      <x:c r="K12" s="45"/>
      <x:c r="L12" s="45"/>
      <x:c r="M12" s="48"/>
      <x:c r="N12" s="48"/>
      <x:c r="O12" s="48"/>
      <x:c r="P12" s="48"/>
      <x:c r="Q12" s="48" t="n">
        <x:f>Q10</x:f>
        <x:v>192.74102560806452</x:v>
      </x:c>
      <x:c r="R12" s="49" t="n">
        <x:f>R10+R11</x:f>
        <x:v>24.7514947240742</x:v>
      </x:c>
    </x:row>
  </x:sheetData>
  <x:mergeCells>
    <x:mergeCell ref="A1:R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0" hidden="0" customWidth="1"/>
    <x:col min="3" max="3" width="12" hidden="0" customWidth="1"/>
    <x:col min="4" max="4" width="42" hidden="0" customWidth="1"/>
  </x:cols>
  <x:sheetData>
    <x:row r="1" ht="30" customHeight="1">
      <x:c r="A1" s="4" t="str">
        <x:v>末目标离轨机动计算</x:v>
      </x:c>
      <x:c r="B1" s="4"/>
      <x:c r="C1" s="4"/>
      <x:c r="D1" s="4"/>
    </x:row>
    <x:row r="2" ht="32" customHeight="1">
      <x:c r="A2" s="8" t="str">
        <x:v>在末目标 31150 的远地点实施逆行脉冲，将新轨道近地点降至 100 km。采用二体瞬时脉冲模型。</x:v>
      </x:c>
      <x:c r="B2" s="8"/>
      <x:c r="C2" s="8"/>
      <x:c r="D2" s="8"/>
    </x:row>
    <x:row r="4">
      <x:c r="A4" s="18" t="str">
        <x:v>参数</x:v>
      </x:c>
      <x:c r="B4" s="19" t="str">
        <x:v>数值/公式</x:v>
      </x:c>
      <x:c r="C4" s="19" t="str">
        <x:v>单位</x:v>
      </x:c>
      <x:c r="D4" s="20" t="str">
        <x:v>计算说明</x:v>
      </x:c>
    </x:row>
    <x:row r="5">
      <x:c r="A5" s="25" t="str">
        <x:v>末目标 NORAD</x:v>
      </x:c>
      <x:c r="B5" s="25" t="str">
        <x:v>31150</x:v>
      </x:c>
      <x:c r="C5" s="25" t="str">
        <x:v>—</x:v>
      </x:c>
      <x:c r="D5" s="25" t="str">
        <x:v>最小 Δv 路线的第 5 个目标</x:v>
      </x:c>
    </x:row>
    <x:row r="6">
      <x:c r="A6" s="26" t="str">
        <x:v>原轨道半长轴 a₀</x:v>
      </x:c>
      <x:c r="B6" s="50" t="n">
        <x:f>'目标参数'!G9</x:f>
        <x:v>7228.801246056358</x:v>
      </x:c>
      <x:c r="C6" s="26" t="str">
        <x:v>km</x:v>
      </x:c>
      <x:c r="D6" s="26" t="str">
        <x:v>来自目标参数表</x:v>
      </x:c>
    </x:row>
    <x:row r="7">
      <x:c r="A7" s="26" t="str">
        <x:v>原轨道偏心率 e₀</x:v>
      </x:c>
      <x:c r="B7" s="50" t="n">
        <x:f>'目标参数'!H9</x:f>
        <x:v>0.002109715348834441</x:v>
      </x:c>
      <x:c r="C7" s="26" t="str">
        <x:v>—</x:v>
      </x:c>
      <x:c r="D7" s="26" t="str">
        <x:v>来自目标参数表</x:v>
      </x:c>
    </x:row>
    <x:row r="8">
      <x:c r="A8" s="26" t="str">
        <x:v>地球半径 Rₑ</x:v>
      </x:c>
      <x:c r="B8" s="50" t="n">
        <x:f>'假设与常数'!C6</x:f>
        <x:v>6378.137</x:v>
      </x:c>
      <x:c r="C8" s="26" t="str">
        <x:v>km</x:v>
      </x:c>
      <x:c r="D8" s="26" t="str">
        <x:v>常数</x:v>
      </x:c>
    </x:row>
    <x:row r="9">
      <x:c r="A9" s="26" t="str">
        <x:v>新近地点高度 hₚ,new</x:v>
      </x:c>
      <x:c r="B9" s="50" t="n">
        <x:f>'假设与常数'!C7</x:f>
        <x:v>100</x:v>
      </x:c>
      <x:c r="C9" s="26" t="str">
        <x:v>km</x:v>
      </x:c>
      <x:c r="D9" s="26" t="str">
        <x:v>任务处置假设</x:v>
      </x:c>
    </x:row>
    <x:row r="10">
      <x:c r="A10" s="26" t="str">
        <x:v>远地点半径 rₐ</x:v>
      </x:c>
      <x:c r="B10" s="50" t="n">
        <x:f>B6*(1+B7)</x:f>
        <x:v>7244.051958998837</x:v>
      </x:c>
      <x:c r="C10" s="26" t="str">
        <x:v>km</x:v>
      </x:c>
      <x:c r="D10" s="26" t="str">
        <x:v>a₀(1+e₀)</x:v>
      </x:c>
    </x:row>
    <x:row r="11">
      <x:c r="A11" s="26" t="str">
        <x:v>点火高度</x:v>
      </x:c>
      <x:c r="B11" s="50" t="n">
        <x:f>B10-B8</x:f>
        <x:v>865.9149589988374</x:v>
      </x:c>
      <x:c r="C11" s="26" t="str">
        <x:v>km</x:v>
      </x:c>
      <x:c r="D11" s="26" t="str">
        <x:v>rₐ−Rₑ</x:v>
      </x:c>
    </x:row>
    <x:row r="12">
      <x:c r="A12" s="26" t="str">
        <x:v>新近地点半径 rₚ,new</x:v>
      </x:c>
      <x:c r="B12" s="50" t="n">
        <x:f>B8+B9</x:f>
        <x:v>6478.137</x:v>
      </x:c>
      <x:c r="C12" s="26" t="str">
        <x:v>km</x:v>
      </x:c>
      <x:c r="D12" s="26" t="str">
        <x:v>Rₑ+hₚ,new</x:v>
      </x:c>
    </x:row>
    <x:row r="13">
      <x:c r="A13" s="26" t="str">
        <x:v>转移轨道半长轴 aₜ</x:v>
      </x:c>
      <x:c r="B13" s="50" t="n">
        <x:f>(B10+B12)/2</x:f>
        <x:v>6861.094479499418</x:v>
      </x:c>
      <x:c r="C13" s="26" t="str">
        <x:v>km</x:v>
      </x:c>
      <x:c r="D13" s="26" t="str">
        <x:v>(rₐ+rₚ,new)/2</x:v>
      </x:c>
    </x:row>
    <x:row r="14">
      <x:c r="A14" s="26" t="str">
        <x:v>点火前远地点速度</x:v>
      </x:c>
      <x:c r="B14" s="50" t="n">
        <x:f>SQRT('假设与常数'!C5*(2/B10-1/B6))</x:f>
        <x:v>7.410022159335155</x:v>
      </x:c>
      <x:c r="C14" s="26" t="str">
        <x:v>km/s</x:v>
      </x:c>
      <x:c r="D14" s="26" t="str">
        <x:v>√[μ(2/rₐ−1/a₀)]</x:v>
      </x:c>
    </x:row>
    <x:row r="15">
      <x:c r="A15" s="26" t="str">
        <x:v>点火后远地点速度</x:v>
      </x:c>
      <x:c r="B15" s="50" t="n">
        <x:f>SQRT('假设与常数'!C5*(2/B10-1/B13))</x:f>
        <x:v>7.20786217626736</x:v>
      </x:c>
      <x:c r="C15" s="26" t="str">
        <x:v>km/s</x:v>
      </x:c>
      <x:c r="D15" s="26" t="str">
        <x:v>√[μ(2/rₐ−1/aₜ)]</x:v>
      </x:c>
    </x:row>
    <x:row r="16">
      <x:c r="A16" s="26" t="str">
        <x:v>离轨脉冲 Δv</x:v>
      </x:c>
      <x:c r="B16" s="39" t="n">
        <x:f>(B14-B15)*1000</x:f>
        <x:v>202.15998306779514</x:v>
      </x:c>
      <x:c r="C16" s="26" t="str">
        <x:v>m/s</x:v>
      </x:c>
      <x:c r="D16" s="26" t="str">
        <x:v>(v_before−v_after)×1000</x:v>
      </x:c>
    </x:row>
    <x:row r="17">
      <x:c r="A17" s="26" t="str">
        <x:v>至新近地点滑行时间</x:v>
      </x:c>
      <x:c r="B17" s="39" t="n">
        <x:f>PI()*SQRT(B13^3/'假设与常数'!C5)/60</x:f>
        <x:v>47.132430311099746</x:v>
      </x:c>
      <x:c r="C17" s="26" t="str">
        <x:v>min</x:v>
      </x:c>
      <x:c r="D17" s="26" t="str">
        <x:v>π√(aₜ³/μ)/60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5" hidden="0" customWidth="1"/>
    <x:col min="3" max="3" width="16" hidden="0" customWidth="1"/>
    <x:col min="4" max="4" width="46" hidden="0" customWidth="1"/>
  </x:cols>
  <x:sheetData>
    <x:row r="1" ht="30" customHeight="1">
      <x:c r="A1" s="4" t="str">
        <x:v>任务周期、Δv 与有效清理能力</x:v>
      </x:c>
      <x:c r="B1" s="4"/>
      <x:c r="C1" s="4"/>
      <x:c r="D1" s="4"/>
    </x:row>
    <x:row r="2" ht="32" customHeight="1">
      <x:c r="A2" s="8" t="str">
        <x:v>蓝色单元格为公式结果；所有规划假设集中在“假设与常数”表中，可修改后自动重算。</x:v>
      </x:c>
      <x:c r="B2" s="8"/>
      <x:c r="C2" s="8"/>
      <x:c r="D2" s="8"/>
    </x:row>
    <x:row r="4">
      <x:c r="A4" s="18" t="str">
        <x:v>指标</x:v>
      </x:c>
      <x:c r="B4" s="19" t="str">
        <x:v>计算结果</x:v>
      </x:c>
      <x:c r="C4" s="19" t="str">
        <x:v>单位</x:v>
      </x:c>
      <x:c r="D4" s="20" t="str">
        <x:v>公式/含义</x:v>
      </x:c>
    </x:row>
    <x:row r="5">
      <x:c r="A5" s="25" t="str">
        <x:v>目标数</x:v>
      </x:c>
      <x:c r="B5" s="38" t="n">
        <x:f>'假设与常数'!C17</x:f>
        <x:v>5</x:v>
      </x:c>
      <x:c r="C5" s="25" t="str">
        <x:v>target</x:v>
      </x:c>
      <x:c r="D5" s="25" t="str">
        <x:v>N</x:v>
      </x:c>
    </x:row>
    <x:row r="6">
      <x:c r="A6" s="26" t="str">
        <x:v>目标间转移 Δv</x:v>
      </x:c>
      <x:c r="B6" s="39" t="n">
        <x:f>'分段转移'!Q12</x:f>
        <x:v>192.74102560806452</x:v>
      </x:c>
      <x:c r="C6" s="26" t="str">
        <x:v>m/s</x:v>
      </x:c>
      <x:c r="D6" s="26" t="str">
        <x:v>四段几何与相位机动之和</x:v>
      </x:c>
    </x:row>
    <x:row r="7">
      <x:c r="A7" s="26" t="str">
        <x:v>首目标获取 Δv</x:v>
      </x:c>
      <x:c r="B7" s="39" t="n">
        <x:f>'假设与常数'!C10</x:f>
        <x:v>30</x:v>
      </x:c>
      <x:c r="C7" s="26" t="str">
        <x:v>m/s</x:v>
      </x:c>
      <x:c r="D7" s="26" t="str">
        <x:v>规划假设</x:v>
      </x:c>
    </x:row>
    <x:row r="8">
      <x:c r="A8" s="26" t="str">
        <x:v>近距离操作 Δv 合计</x:v>
      </x:c>
      <x:c r="B8" s="39" t="n">
        <x:f>B5*'假设与常数'!C12</x:f>
        <x:v>25</x:v>
      </x:c>
      <x:c r="C8" s="26" t="str">
        <x:v>m/s</x:v>
      </x:c>
      <x:c r="D8" s="26" t="str">
        <x:v>N×Δv_RPO</x:v>
      </x:c>
    </x:row>
    <x:row r="9">
      <x:c r="A9" s="26" t="str">
        <x:v>末目标离轨 Δv</x:v>
      </x:c>
      <x:c r="B9" s="39" t="n">
        <x:f>'离轨计算'!B16</x:f>
        <x:v>202.15998306779514</x:v>
      </x:c>
      <x:c r="C9" s="26" t="str">
        <x:v>m/s</x:v>
      </x:c>
      <x:c r="D9" s="26" t="str">
        <x:v>远地点逆行脉冲</x:v>
      </x:c>
    </x:row>
    <x:row r="10">
      <x:c r="A10" s="26" t="str">
        <x:v>余量前总 Δv</x:v>
      </x:c>
      <x:c r="B10" s="39" t="n">
        <x:f>SUM(B6:B9)</x:f>
        <x:v>449.90100867585966</x:v>
      </x:c>
      <x:c r="C10" s="26" t="str">
        <x:v>m/s</x:v>
      </x:c>
      <x:c r="D10" s="26" t="str">
        <x:v>转移+获取+RPO+离轨</x:v>
      </x:c>
    </x:row>
    <x:row r="11">
      <x:c r="A11" s="26" t="str">
        <x:v>设计余量</x:v>
      </x:c>
      <x:c r="B11" s="59" t="n">
        <x:f>'假设与常数'!C13</x:f>
        <x:v>0.2</x:v>
      </x:c>
      <x:c r="C11" s="26" t="str">
        <x:v>比例</x:v>
      </x:c>
      <x:c r="D11" s="26" t="str">
        <x:v>f_res</x:v>
      </x:c>
    </x:row>
    <x:row r="12">
      <x:c r="A12" s="26" t="str">
        <x:v>设计总 Δv</x:v>
      </x:c>
      <x:c r="B12" s="39" t="n">
        <x:f>B10*(1+B11)</x:f>
        <x:v>539.8812104110316</x:v>
      </x:c>
      <x:c r="C12" s="26" t="str">
        <x:v>m/s</x:v>
      </x:c>
      <x:c r="D12" s="26" t="str">
        <x:v>余量前总量×(1+f_res)</x:v>
      </x:c>
    </x:row>
    <x:row r="13">
      <x:c r="A13" s="26"/>
      <x:c r="B13" s="39"/>
      <x:c r="C13" s="26"/>
      <x:c r="D13" s="26"/>
    </x:row>
    <x:row r="14">
      <x:c r="A14" s="45" t="str">
        <x:v>周期与清理率</x:v>
      </x:c>
      <x:c r="B14" s="58"/>
      <x:c r="C14" s="45"/>
      <x:c r="D14" s="45"/>
    </x:row>
    <x:row r="15">
      <x:c r="A15" s="26" t="str">
        <x:v>首目标获取时间</x:v>
      </x:c>
      <x:c r="B15" s="39" t="n">
        <x:f>'假设与常数'!C9</x:f>
        <x:v>90</x:v>
      </x:c>
      <x:c r="C15" s="26" t="str">
        <x:v>day</x:v>
      </x:c>
      <x:c r="D15" s="26" t="str">
        <x:v>t_acq</x:v>
      </x:c>
    </x:row>
    <x:row r="16">
      <x:c r="A16" s="26" t="str">
        <x:v>目标间阶段时间</x:v>
      </x:c>
      <x:c r="B16" s="39" t="n">
        <x:f>'分段转移'!R12</x:f>
        <x:v>24.7514947240742</x:v>
      </x:c>
      <x:c r="C16" s="26" t="str">
        <x:v>day</x:v>
      </x:c>
      <x:c r="D16" s="26" t="str">
        <x:v>含 5 次停留</x:v>
      </x:c>
    </x:row>
    <x:row r="17">
      <x:c r="A17" s="26" t="str">
        <x:v>最终处置操作时间</x:v>
      </x:c>
      <x:c r="B17" s="39" t="n">
        <x:f>'假设与常数'!C11</x:f>
        <x:v>7</x:v>
      </x:c>
      <x:c r="C17" s="26" t="str">
        <x:v>day</x:v>
      </x:c>
      <x:c r="D17" s="26" t="str">
        <x:v>t_disp</x:v>
      </x:c>
    </x:row>
    <x:row r="18">
      <x:c r="A18" s="26" t="str">
        <x:v>任务总周期</x:v>
      </x:c>
      <x:c r="B18" s="39" t="n">
        <x:f>SUM(B15:B17)</x:f>
        <x:v>121.7514947240742</x:v>
      </x:c>
      <x:c r="C18" s="26" t="str">
        <x:v>day</x:v>
      </x:c>
      <x:c r="D18" s="26" t="str">
        <x:v>获取+目标间阶段+处置</x:v>
      </x:c>
    </x:row>
    <x:row r="19">
      <x:c r="A19" s="26" t="str">
        <x:v>名义目标数</x:v>
      </x:c>
      <x:c r="B19" s="39" t="n">
        <x:f>B5</x:f>
        <x:v>5</x:v>
      </x:c>
      <x:c r="C19" s="26" t="str">
        <x:v>target</x:v>
      </x:c>
      <x:c r="D19" s="26" t="str">
        <x:v>N</x:v>
      </x:c>
    </x:row>
    <x:row r="20">
      <x:c r="A20" s="26" t="str">
        <x:v>名义清理率</x:v>
      </x:c>
      <x:c r="B20" s="39" t="n">
        <x:f>B19*365/B18</x:f>
        <x:v>14.98954903293798</x:v>
      </x:c>
      <x:c r="C20" s="26" t="str">
        <x:v>target/year</x:v>
      </x:c>
      <x:c r="D20" s="26" t="str">
        <x:v>N×365/任务总周期</x:v>
      </x:c>
    </x:row>
    <x:row r="21">
      <x:c r="A21" s="26" t="str">
        <x:v>安全失败后继续：期望有效目标数</x:v>
      </x:c>
      <x:c r="B21" s="39" t="n">
        <x:f>B19*'假设与常数'!C14*'假设与常数'!C15</x:f>
        <x:v>3.7125</x:v>
      </x:c>
      <x:c r="C21" s="26" t="str">
        <x:v>target</x:v>
      </x:c>
      <x:c r="D21" s="26" t="str">
        <x:v>N×q×p_disp</x:v>
      </x:c>
    </x:row>
    <x:row r="22">
      <x:c r="A22" s="26" t="str">
        <x:v>安全失败后继续：有效清理率</x:v>
      </x:c>
      <x:c r="B22" s="39" t="n">
        <x:f>B21*365/B18</x:f>
        <x:v>11.12974015695645</x:v>
      </x:c>
      <x:c r="C22" s="26" t="str">
        <x:v>target/year</x:v>
      </x:c>
      <x:c r="D22" s="26" t="str">
        <x:v>期望有效目标数×365/任务总周期</x:v>
      </x:c>
    </x:row>
    <x:row r="23">
      <x:c r="A23" s="26" t="str">
        <x:v>任一失败即终止：期望有效目标数</x:v>
      </x:c>
      <x:c r="B23" s="39" t="n">
        <x:f>'假设与常数'!C15*SUM('假设与常数'!C14^1,'假设与常数'!C14^2,'假设与常数'!C14^3,'假设与常数'!C14^4,'假设与常数'!C14^5)</x:f>
        <x:v>2.265205078125</x:v>
      </x:c>
      <x:c r="C23" s="26" t="str">
        <x:v>target</x:v>
      </x:c>
      <x:c r="D23" s="26" t="str">
        <x:v>p_disp×Σ(qᵏ), k=1…N</x:v>
      </x:c>
    </x:row>
    <x:row r="24">
      <x:c r="A24" s="26" t="str">
        <x:v>任一失败即终止：有效清理率</x:v>
      </x:c>
      <x:c r="B24" s="39" t="n">
        <x:f>B23*365/B18</x:f>
        <x:v>6.790880517642959</x:v>
      </x:c>
      <x:c r="C24" s="26" t="str">
        <x:v>target/year</x:v>
      </x:c>
      <x:c r="D24" s="26" t="str">
        <x:v>期望有效目标数×365/任务总周期</x:v>
      </x:c>
    </x:row>
    <x:row r="25">
      <x:c r="A25" s="26" t="str">
        <x:v>基准路线</x:v>
      </x:c>
      <x:c r="B25" s="60" t="str">
        <x:v>36668 → 30741 → 35089 → 35175 → 31150</x:v>
      </x:c>
      <x:c r="C25" s="26" t="str">
        <x:v>—</x:v>
      </x:c>
      <x:c r="D25" s="26" t="str">
        <x:v>最小 Δv 定时路线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5" hidden="0" customWidth="1"/>
    <x:col min="3" max="3" width="25" hidden="0" customWidth="1"/>
    <x:col min="4" max="4" width="31" hidden="0" customWidth="1"/>
    <x:col min="5" max="5" width="25" hidden="0" customWidth="1"/>
    <x:col min="6" max="6" width="28" hidden="0" customWidth="1"/>
  </x:cols>
  <x:sheetData>
    <x:row r="1" ht="30" customHeight="1">
      <x:c r="A1" s="4" t="str">
        <x:v>关键假设敏感性</x:v>
      </x:c>
      <x:c r="B1" s="4"/>
      <x:c r="C1" s="4"/>
      <x:c r="D1" s="4"/>
      <x:c r="E1" s="4"/>
      <x:c r="F1" s="4"/>
    </x:row>
    <x:row r="2" ht="32" customHeight="1">
      <x:c r="A2" s="8" t="str">
        <x:v>相位机动部分为外部定时路线模型输出；日历、概率和质量代理部分使用表内公式自动重算。</x:v>
      </x:c>
      <x:c r="B2" s="8"/>
      <x:c r="C2" s="8"/>
      <x:c r="D2" s="8"/>
      <x:c r="E2" s="8"/>
      <x:c r="F2" s="8"/>
    </x:row>
    <x:row r="4">
      <x:c r="A4" s="18" t="str">
        <x:v>单次相位机动上限 m/s</x:v>
      </x:c>
      <x:c r="B4" s="19" t="str">
        <x:v>目标间 Δv m/s</x:v>
      </x:c>
      <x:c r="C4" s="19" t="str">
        <x:v>目标间历时 day</x:v>
      </x:c>
      <x:c r="D4" s="20" t="str">
        <x:v>路线</x:v>
      </x:c>
    </x:row>
    <x:row r="5">
      <x:c r="A5" s="34" t="n">
        <x:v>5</x:v>
      </x:c>
      <x:c r="B5" s="34" t="n">
        <x:v>157.21785365659238</x:v>
      </x:c>
      <x:c r="C5" s="34" t="n">
        <x:v>58.49303460844908</x:v>
      </x:c>
      <x:c r="D5" s="25" t="str">
        <x:v>36668 → 30741 → 35089 → 35175 → 31150</x:v>
      </x:c>
    </x:row>
    <x:row r="6">
      <x:c r="A6" s="35" t="n">
        <x:v>10</x:v>
      </x:c>
      <x:c r="B6" s="35" t="n">
        <x:v>192.74102560806452</x:v>
      </x:c>
      <x:c r="C6" s="35" t="n">
        <x:v>24.7514947240625</x:v>
      </x:c>
      <x:c r="D6" s="26" t="str">
        <x:v>36668 → 30741 → 35089 → 35175 → 31150</x:v>
      </x:c>
    </x:row>
    <x:row r="7">
      <x:c r="A7" s="35" t="n">
        <x:v>20</x:v>
      </x:c>
      <x:c r="B7" s="35" t="n">
        <x:v>272.57059356677604</x:v>
      </x:c>
      <x:c r="C7" s="35" t="n">
        <x:v>20.079795359768518</x:v>
      </x:c>
      <x:c r="D7" s="26" t="str">
        <x:v>36668 → 30741 → 35089 → 35175 → 31150</x:v>
      </x:c>
    </x:row>
    <x:row r="10">
      <x:c r="A10" s="18" t="str">
        <x:v>日历情景</x:v>
      </x:c>
      <x:c r="B10" s="19" t="str">
        <x:v>首目标获取 day</x:v>
      </x:c>
      <x:c r="C10" s="19" t="str">
        <x:v>末段处置 day</x:v>
      </x:c>
      <x:c r="D10" s="19" t="str">
        <x:v>总周期 day</x:v>
      </x:c>
      <x:c r="E10" s="19" t="str">
        <x:v>名义率 target/year</x:v>
      </x:c>
      <x:c r="F10" s="20" t="str">
        <x:v>继续型有效率 target/year</x:v>
      </x:c>
    </x:row>
    <x:row r="11">
      <x:c r="A11" s="25" t="str">
        <x:v>成熟乐观</x:v>
      </x:c>
      <x:c r="B11" s="34" t="n">
        <x:v>30</x:v>
      </x:c>
      <x:c r="C11" s="34" t="n">
        <x:v>3</x:v>
      </x:c>
      <x:c r="D11" s="38" t="n">
        <x:f>B11+'分段转移'!R12+C11</x:f>
        <x:v>57.7514947240742</x:v>
      </x:c>
      <x:c r="E11" s="38" t="n">
        <x:f>'能力计算'!B19*365/D11</x:f>
        <x:v>31.60091368577571</x:v>
      </x:c>
      <x:c r="F11" s="38" t="n">
        <x:f>'能力计算'!B21*365/D11</x:f>
        <x:v>23.463678411688463</x:v>
      </x:c>
    </x:row>
    <x:row r="12">
      <x:c r="A12" s="26" t="str">
        <x:v>基准</x:v>
      </x:c>
      <x:c r="B12" s="35" t="n">
        <x:v>90</x:v>
      </x:c>
      <x:c r="C12" s="35" t="n">
        <x:v>7</x:v>
      </x:c>
      <x:c r="D12" s="39" t="n">
        <x:f>B12+'分段转移'!R12+C12</x:f>
        <x:v>121.7514947240742</x:v>
      </x:c>
      <x:c r="E12" s="39" t="n">
        <x:f>'能力计算'!B19*365/D12</x:f>
        <x:v>14.98954903293798</x:v>
      </x:c>
      <x:c r="F12" s="39" t="n">
        <x:f>'能力计算'!B21*365/D12</x:f>
        <x:v>11.12974015695645</x:v>
      </x:c>
    </x:row>
    <x:row r="13">
      <x:c r="A13" s="26" t="str">
        <x:v>演示保守</x:v>
      </x:c>
      <x:c r="B13" s="35" t="n">
        <x:v>180</x:v>
      </x:c>
      <x:c r="C13" s="35" t="n">
        <x:v>14</x:v>
      </x:c>
      <x:c r="D13" s="39" t="n">
        <x:f>B13+'分段转移'!R12+C13</x:f>
        <x:v>218.7514947240742</x:v>
      </x:c>
      <x:c r="E13" s="39" t="n">
        <x:f>'能力计算'!B19*365/D13</x:f>
        <x:v>8.342800136300754</x:v>
      </x:c>
      <x:c r="F13" s="39" t="n">
        <x:f>'能力计算'!B21*365/D13</x:f>
        <x:v>6.19452910120331</x:v>
      </x:c>
    </x:row>
    <x:row r="16">
      <x:c r="A16" s="18" t="str">
        <x:v>单目标成功率 q</x:v>
      </x:c>
      <x:c r="B16" s="19" t="str">
        <x:v>处置成功率 p_disp</x:v>
      </x:c>
      <x:c r="C16" s="19" t="str">
        <x:v>继续型期望目标数</x:v>
      </x:c>
      <x:c r="D16" s="20" t="str">
        <x:v>终止型期望目标数</x:v>
      </x:c>
    </x:row>
    <x:row r="17">
      <x:c r="A17" s="61" t="n">
        <x:v>0.6</x:v>
      </x:c>
      <x:c r="B17" s="61" t="n">
        <x:v>0.9</x:v>
      </x:c>
      <x:c r="C17" s="38" t="n">
        <x:f>'假设与常数'!C17*A17*B17</x:f>
        <x:v>2.7</x:v>
      </x:c>
      <x:c r="D17" s="38" t="n">
        <x:f>B17*SUM(A17^1,A17^2,A17^3,A17^4,A17^5)</x:f>
        <x:v>1.245024</x:v>
      </x:c>
    </x:row>
    <x:row r="18">
      <x:c r="A18" s="62" t="n">
        <x:v>0.6</x:v>
      </x:c>
      <x:c r="B18" s="62" t="n">
        <x:v>0.99</x:v>
      </x:c>
      <x:c r="C18" s="39" t="n">
        <x:f>'假设与常数'!C17*A18*B18</x:f>
        <x:v>2.9699999999999998</x:v>
      </x:c>
      <x:c r="D18" s="39" t="n">
        <x:f>B18*SUM(A18^1,A18^2,A18^3,A18^4,A18^5)</x:f>
        <x:v>1.3695263999999998</x:v>
      </x:c>
    </x:row>
    <x:row r="19">
      <x:c r="A19" s="62" t="n">
        <x:v>0.75</x:v>
      </x:c>
      <x:c r="B19" s="62" t="n">
        <x:v>0.9</x:v>
      </x:c>
      <x:c r="C19" s="39" t="n">
        <x:f>'假设与常数'!C17*A19*B19</x:f>
        <x:v>3.375</x:v>
      </x:c>
      <x:c r="D19" s="39" t="n">
        <x:f>B19*SUM(A19^1,A19^2,A19^3,A19^4,A19^5)</x:f>
        <x:v>2.0592773437500003</x:v>
      </x:c>
    </x:row>
    <x:row r="20">
      <x:c r="A20" s="62" t="n">
        <x:v>0.75</x:v>
      </x:c>
      <x:c r="B20" s="62" t="n">
        <x:v>0.99</x:v>
      </x:c>
      <x:c r="C20" s="39" t="n">
        <x:f>'假设与常数'!C17*A20*B20</x:f>
        <x:v>3.7125</x:v>
      </x:c>
      <x:c r="D20" s="39" t="n">
        <x:f>B20*SUM(A20^1,A20^2,A20^3,A20^4,A20^5)</x:f>
        <x:v>2.265205078125</x:v>
      </x:c>
    </x:row>
    <x:row r="21">
      <x:c r="A21" s="62" t="n">
        <x:v>0.9</x:v>
      </x:c>
      <x:c r="B21" s="62" t="n">
        <x:v>0.9</x:v>
      </x:c>
      <x:c r="C21" s="39" t="n">
        <x:f>'假设与常数'!C17*A21*B21</x:f>
        <x:v>4.05</x:v>
      </x:c>
      <x:c r="D21" s="39" t="n">
        <x:f>B21*SUM(A21^1,A21^2,A21^3,A21^4,A21^5)</x:f>
        <x:v>3.317031</x:v>
      </x:c>
    </x:row>
    <x:row r="22">
      <x:c r="A22" s="62" t="n">
        <x:v>0.9</x:v>
      </x:c>
      <x:c r="B22" s="62" t="n">
        <x:v>0.99</x:v>
      </x:c>
      <x:c r="C22" s="39" t="n">
        <x:f>'假设与常数'!C17*A22*B22</x:f>
        <x:v>4.455</x:v>
      </x:c>
      <x:c r="D22" s="39" t="n">
        <x:f>B22*SUM(A22^1,A22^2,A22^3,A22^4,A22^5)</x:f>
        <x:v>3.6487341</x:v>
      </x:c>
    </x:row>
    <x:row r="25">
      <x:c r="A25" s="18" t="str">
        <x:v>球体代理密度 g/cm³</x:v>
      </x:c>
      <x:c r="B25" s="19" t="str">
        <x:v>名义清理质量 kg</x:v>
      </x:c>
      <x:c r="C25" s="19" t="str">
        <x:v>继续型有效质量 kg</x:v>
      </x:c>
      <x:c r="D25" s="20" t="str">
        <x:v>终止型有效质量 kg</x:v>
      </x:c>
    </x:row>
    <x:row r="26">
      <x:c r="A26" s="34" t="n">
        <x:v>1.4</x:v>
      </x:c>
      <x:c r="B26" s="38" t="n">
        <x:f>4/3*PI()*A26/1000*SUM(('目标参数'!P5/2)^3,('目标参数'!P6/2)^3,('目标参数'!P7/2)^3,('目标参数'!P8/2)^3,('目标参数'!P9/2)^3)</x:f>
        <x:v>3.6603628291346557</x:v>
      </x:c>
      <x:c r="C26" s="38" t="n">
        <x:f>B26*'假设与常数'!C14*'假设与常数'!C15</x:f>
        <x:v>2.717819400632482</x:v>
      </x:c>
      <x:c r="D26" s="38" t="n">
        <x:f>4/3*PI()*A26/1000*'假设与常数'!C15*SUM(('目标参数'!P5/2)^3*'假设与常数'!C14^1,('目标参数'!P6/2)^3*'假设与常数'!C14^2,('目标参数'!P7/2)^3*'假设与常数'!C14^3,('目标参数'!P8/2)^3*'假设与常数'!C14^4,('目标参数'!P9/2)^3*'假设与常数'!C14^5)</x:f>
        <x:v>1.8150929755677452</x:v>
      </x:c>
    </x:row>
    <x:row r="27">
      <x:c r="A27" s="35" t="n">
        <x:v>2.8</x:v>
      </x:c>
      <x:c r="B27" s="39" t="n">
        <x:f>4/3*PI()*A27/1000*SUM(('目标参数'!P5/2)^3,('目标参数'!P6/2)^3,('目标参数'!P7/2)^3,('目标参数'!P8/2)^3,('目标参数'!P9/2)^3)</x:f>
        <x:v>7.320725658269311</x:v>
      </x:c>
      <x:c r="C27" s="39" t="n">
        <x:f>B27*'假设与常数'!C14*'假设与常数'!C15</x:f>
        <x:v>5.435638801264964</x:v>
      </x:c>
      <x:c r="D27" s="39" t="n">
        <x:f>4/3*PI()*A27/1000*'假设与常数'!C15*SUM(('目标参数'!P5/2)^3*'假设与常数'!C14^1,('目标参数'!P6/2)^3*'假设与常数'!C14^2,('目标参数'!P7/2)^3*'假设与常数'!C14^3,('目标参数'!P8/2)^3*'假设与常数'!C14^4,('目标参数'!P9/2)^3*'假设与常数'!C14^5)</x:f>
        <x:v>3.6301859511354904</x:v>
      </x:c>
    </x:row>
    <x:row r="28">
      <x:c r="A28" s="35" t="n">
        <x:v>7.9</x:v>
      </x:c>
      <x:c r="B28" s="39" t="n">
        <x:f>4/3*PI()*A28/1000*SUM(('目标参数'!P5/2)^3,('目标参数'!P6/2)^3,('目标参数'!P7/2)^3,('目标参数'!P8/2)^3,('目标参数'!P9/2)^3)</x:f>
        <x:v>20.654904535831275</x:v>
      </x:c>
      <x:c r="C28" s="39" t="n">
        <x:f>B28*'假设与常数'!C14*'假设与常数'!C15</x:f>
        <x:v>15.33626661785472</x:v>
      </x:c>
      <x:c r="D28" s="39" t="n">
        <x:f>4/3*PI()*A28/1000*'假设与常数'!C15*SUM(('目标参数'!P5/2)^3*'假设与常数'!C14^1,('目标参数'!P6/2)^3*'假设与常数'!C14^2,('目标参数'!P7/2)^3*'假设与常数'!C14^3,('目标参数'!P8/2)^3*'假设与常数'!C14^4,('目标参数'!P9/2)^3*'假设与常数'!C14^5)</x:f>
        <x:v>10.242310362132278</x:v>
      </x:c>
    </x:row>
    <x:row r="30">
      <x:c r="A30" s="7" t="str">
        <x:v>说明</x:v>
      </x:c>
      <x:c r="B30" s="7" t="str">
        <x:v>RCS 等效圆直径被进一步假设为实心球直径；仅用于质量量级敏感性，不是目录质量。</x:v>
      </x:c>
      <x:c r="C30" s="7"/>
      <x:c r="D30" s="7"/>
    </x:row>
  </x:sheetData>
  <x:mergeCells>
    <x:mergeCell ref="A1:F1"/>
    <x:mergeCell ref="A2:F2"/>
    <x:mergeCell ref="B30:D3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2" hidden="0" customWidth="1"/>
    <x:col min="3" max="3" width="31" hidden="0" customWidth="1"/>
    <x:col min="4" max="4" width="38" hidden="0" customWidth="1"/>
  </x:cols>
  <x:sheetData>
    <x:row r="1" ht="30" customHeight="1">
      <x:c r="A1" s="4" t="str">
        <x:v>公开数据来源与模型边界</x:v>
      </x:c>
      <x:c r="B1" s="4"/>
      <x:c r="C1" s="4"/>
      <x:c r="D1" s="4"/>
    </x:row>
    <x:row r="2" ht="32" customHeight="1">
      <x:c r="A2" s="8" t="str">
        <x:v>本表将公开目录量、模型计算量和规划假设分开，避免把任务假设误认为公开测量数据。</x:v>
      </x:c>
      <x:c r="B2" s="8"/>
      <x:c r="C2" s="8"/>
      <x:c r="D2" s="8"/>
    </x:row>
    <x:row r="4">
      <x:c r="A4" s="18" t="str">
        <x:v>来源</x:v>
      </x:c>
      <x:c r="B4" s="19" t="str">
        <x:v>地址/文件</x:v>
      </x:c>
      <x:c r="C4" s="19" t="str">
        <x:v>获取时间</x:v>
      </x:c>
      <x:c r="D4" s="20" t="str">
        <x:v>用途</x:v>
      </x:c>
    </x:row>
    <x:row r="5">
      <x:c r="A5" s="25" t="str">
        <x:v>CelesTrak GP/OMM</x:v>
      </x:c>
      <x:c r="B5" s="25" t="str">
        <x:v>https://celestrak.org/NORAD/elements/gp.php?GROUP=FENGYUN-1C-DEBRIS&amp;FORMAT=JSON</x:v>
      </x:c>
      <x:c r="C5" s="25" t="str">
        <x:v>2026-09-02 06:39:51 UTC</x:v>
      </x:c>
      <x:c r="D5" s="25" t="str">
        <x:v>轨道根数与 SGP4 传播输入</x:v>
      </x:c>
    </x:row>
    <x:row r="6">
      <x:c r="A6" s="26" t="str">
        <x:v>CelesTrak SATCAT</x:v>
      </x:c>
      <x:c r="B6" s="26" t="str">
        <x:v>https://celestrak.org/satcat/records.php?NAME=FENGYUN%201C%20DEB&amp;FORMAT=JSON&amp;ONORBIT=1</x:v>
      </x:c>
      <x:c r="C6" s="26" t="str">
        <x:v>2026-09-02 06:39:51 UTC</x:v>
      </x:c>
      <x:c r="D6" s="26" t="str">
        <x:v>RCS 与目标标识</x:v>
      </x:c>
    </x:row>
    <x:row r="7">
      <x:c r="A7" s="26" t="str">
        <x:v>本地计算结果</x:v>
      </x:c>
      <x:c r="B7" s="26" t="str">
        <x:v>public_debris_calculation/screening_result.json</x:v>
      </x:c>
      <x:c r="C7" s="26" t="str">
        <x:v>2026-09-02 06:39:51 UTC</x:v>
      </x:c>
      <x:c r="D7" s="26" t="str">
        <x:v>筛选、路线、时序和能力计算结果</x:v>
      </x:c>
    </x:row>
    <x:row r="10">
      <x:c r="A10" s="18" t="str">
        <x:v>类别</x:v>
      </x:c>
      <x:c r="B10" s="19" t="str">
        <x:v>内容</x:v>
      </x:c>
      <x:c r="C10" s="20" t="str">
        <x:v>影响</x:v>
      </x:c>
    </x:row>
    <x:row r="11">
      <x:c r="A11" s="25" t="str">
        <x:v>目标筛选</x:v>
      </x:c>
      <x:c r="B11" s="25" t="str">
        <x:v>FENGYUN 1C DEB；RCS 等效直径 8–12 cm；近地点≥700 km；远地点≤900 km；e≤0.02；根数时效≤3 day</x:v>
      </x:c>
      <x:c r="C11" s="25" t="str">
        <x:v>决定候选集与所选 5 目标</x:v>
      </x:c>
    </x:row>
    <x:row r="12">
      <x:c r="A12" s="26" t="str">
        <x:v>轨道模型</x:v>
      </x:c>
      <x:c r="B12" s="26" t="str">
        <x:v>SGP4/OMM 对齐至共同历元，TEME 状态</x:v>
      </x:c>
      <x:c r="C12" s="26" t="str">
        <x:v>适合规划级比较，不替代精密定轨</x:v>
      </x:c>
    </x:row>
    <x:row r="13">
      <x:c r="A13" s="26" t="str">
        <x:v>转移模型</x:v>
      </x:c>
      <x:c r="B13" s="26" t="str">
        <x:v>等效圆轨道双脉冲霍曼；完整轨道面变化并入高半径脉冲</x:v>
      </x:c>
      <x:c r="C13" s="26" t="str">
        <x:v>不是原偏心轨道间全局最优解</x:v>
      </x:c>
    </x:row>
    <x:row r="14">
      <x:c r="A14" s="26" t="str">
        <x:v>时序模型</x:v>
      </x:c>
      <x:c r="B14" s="26" t="str">
        <x:v>互轨道面交点搜索；≤10 m/s/次相位机动；每目标停留 2 day</x:v>
      </x:c>
      <x:c r="C14" s="26" t="str">
        <x:v>给出规划级任务时间</x:v>
      </x:c>
    </x:row>
    <x:row r="15">
      <x:c r="A15" s="26" t="str">
        <x:v>未计入</x:v>
      </x:c>
      <x:c r="B15" s="26" t="str">
        <x:v>有限推力、精密协方差、姿态/翻滚、接触动力学、照明通信、地面网与窗口约束</x:v>
      </x:c>
      <x:c r="C15" s="26" t="str">
        <x:v>工程任务周期和 Δv 可能增加</x:v>
      </x:c>
    </x:row>
    <x:row r="16">
      <x:c r="A16" s="26" t="str">
        <x:v>尺寸与质量</x:v>
      </x:c>
      <x:c r="B16" s="26" t="str">
        <x:v>RCS 圆面积等效直径；球体密度代理质量</x:v>
      </x:c>
      <x:c r="C16" s="26" t="str">
        <x:v>只用于 10 cm 量级筛选与敏感性</x:v>
      </x:c>
    </x:row>
  </x:sheetData>
  <x:mergeCells>
    <x:mergeCell ref="A1:D1"/>
    <x:mergeCell ref="A2:D2"/>
  </x:mergeCells>
  <x:pageMargins left="0.7" right="0.7" top="0.75" bottom="0.75" header="0.3" footer="0.3"/>
</x:worksheet>
</file>